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Prioritized Connector Register" sheetId="2" r:id="rId5"/>
    <sheet state="visible" name="Scoring &amp; Methodology" sheetId="3" r:id="rId6"/>
    <sheet state="visible" name="Sources &amp; Discrepancies" sheetId="4" r:id="rId7"/>
  </sheets>
  <definedNames/>
  <calcPr/>
  <extLst>
    <ext uri="GoogleSheetsCustomDataVersion2">
      <go:sheetsCustomData xmlns:go="http://customooxmlschemas.google.com/" r:id="rId8" roundtripDataChecksum="kjJdHwCpCdJ5rID+ycHzAi6FH4K7/vLgM59fRZygjRQ="/>
    </ext>
  </extLst>
</workbook>
</file>

<file path=xl/sharedStrings.xml><?xml version="1.0" encoding="utf-8"?>
<sst xmlns="http://schemas.openxmlformats.org/spreadsheetml/2006/main" count="926" uniqueCount="583">
  <si>
    <t>AURA | Connector priorities</t>
  </si>
  <si>
    <t>Decision view</t>
  </si>
  <si>
    <t>30 connectors • checked 2026-09-29</t>
  </si>
  <si>
    <t>Scoring &amp; methodology</t>
  </si>
  <si>
    <t>Sources &amp; discrepancies</t>
  </si>
  <si>
    <t>Recommended first wave</t>
  </si>
  <si>
    <t>Microsoft Graph/Entra, SAP S/4HANA, SuccessFactors and ServiceNow. Start SPL National Address as a parallel conditional pilot once product access is confirmed.</t>
  </si>
  <si>
    <t>Parallel foundation</t>
  </si>
  <si>
    <t>OAuth2/OIDC, mTLS as required, secrets, per-tenant permission model, audit, retries/reconciliation, rate limits, test harness and versioning.</t>
  </si>
  <si>
    <t>Saudi access track</t>
  </si>
  <si>
    <t>Start sponsor/eligibility and contract discovery now for Nafath, Qiwa, GOSI, Yaqeen, Muqeem and Etimad product selection. Build only after an approved contract and use case.</t>
  </si>
  <si>
    <t>Criterion</t>
  </si>
  <si>
    <t>Commercial focus</t>
  </si>
  <si>
    <t>Validate SAP pipeline and actual 35% progress. Narrow the first pack to an agreed PR/PO or invoice/status workflow and a customer sandbox.</t>
  </si>
  <si>
    <t>Source ID</t>
  </si>
  <si>
    <t>Rank</t>
  </si>
  <si>
    <t>Weight</t>
  </si>
  <si>
    <t>Scale (1 → 5)</t>
  </si>
  <si>
    <t>Evidence and interpretation</t>
  </si>
  <si>
    <t>Largest evidence gap</t>
  </si>
  <si>
    <t>The 14 guides are project gateway baselines. Most Saudi endpoint paths, issued credentials and production rights cannot be verified on official public pages.</t>
  </si>
  <si>
    <t>Connector / claim</t>
  </si>
  <si>
    <t>Connector</t>
  </si>
  <si>
    <t>Source type</t>
  </si>
  <si>
    <t>Official URL / project file</t>
  </si>
  <si>
    <t>Category</t>
  </si>
  <si>
    <t>Checked</t>
  </si>
  <si>
    <t>Key decision</t>
  </si>
  <si>
    <t>Supports</t>
  </si>
  <si>
    <t>AURA use-case value</t>
  </si>
  <si>
    <t>Select first customer/tenant, employee journeys, whether AURA executes transactions or presents governed handoffs, and who owns payment/invoice obligations.</t>
  </si>
  <si>
    <t>Conflict or unresolved point</t>
  </si>
  <si>
    <t>Wave</t>
  </si>
  <si>
    <t>1 marginal; 3 useful; 5 core request execution</t>
  </si>
  <si>
    <t>Pipeline value considered here; roadmap claim noted where not independently verified</t>
  </si>
  <si>
    <t>Priority Score /100</t>
  </si>
  <si>
    <t>Access status</t>
  </si>
  <si>
    <t>R0</t>
  </si>
  <si>
    <t>Confidence</t>
  </si>
  <si>
    <t>Use case</t>
  </si>
  <si>
    <t>Employee reach</t>
  </si>
  <si>
    <t>Roadmap priority and parallel squads</t>
  </si>
  <si>
    <t>1 niche sector; 3 subset; 5 broad daily use</t>
  </si>
  <si>
    <t>Project roadmap</t>
  </si>
  <si>
    <t>AURA value rationale</t>
  </si>
  <si>
    <t>Reach is expected AURA adoption, not provider market share</t>
  </si>
  <si>
    <t>AURA_Component_Roadmap_Interactive_v2.html, Enterprise &amp; Saudi Connectors</t>
  </si>
  <si>
    <t>2026-09-29</t>
  </si>
  <si>
    <t>S/4 priority #1; 35% claim; squads, estimates and dependencies</t>
  </si>
  <si>
    <t>Recommended integration / data flow</t>
  </si>
  <si>
    <t>35%, pipeline, timeboxes and Saudi quick-win access are internal claims; confirm with owners.</t>
  </si>
  <si>
    <t>Interface evidence</t>
  </si>
  <si>
    <t>Strategic fit</t>
  </si>
  <si>
    <t>Access model</t>
  </si>
  <si>
    <t>Meaning</t>
  </si>
  <si>
    <t>1 peripheral; 3 adjacent; 5 core hub/enterprise system</t>
  </si>
  <si>
    <t>Release condition</t>
  </si>
  <si>
    <t>Direct relevance to employee hub and reusable architecture</t>
  </si>
  <si>
    <t>Difficulty</t>
  </si>
  <si>
    <t>GRAPH</t>
  </si>
  <si>
    <t>Microsoft 365 / Microsoft Graph + Entra</t>
  </si>
  <si>
    <t>Official provider</t>
  </si>
  <si>
    <t>Difficulty drivers</t>
  </si>
  <si>
    <t>https://learn.microsoft.com/en-us/graph/auth-v2-service?tabs=http</t>
  </si>
  <si>
    <t>Application permissions and admin consent for Graph</t>
  </si>
  <si>
    <t>Provider onboarding / commercial</t>
  </si>
  <si>
    <t>Roadmap says 4–8 weeks; effort depends on exact scopes and tenants.</t>
  </si>
  <si>
    <t>1 - Build</t>
  </si>
  <si>
    <t>Documented interface; strong use case</t>
  </si>
  <si>
    <t>Implementation ease</t>
  </si>
  <si>
    <t>Legal / regulatory</t>
  </si>
  <si>
    <t>Customer tenant/API product entitlement and approved scenario</t>
  </si>
  <si>
    <t>1 very hard/unknown; 3 medium; 5 low effort</t>
  </si>
  <si>
    <t>Inverse of difficulty; includes testing, operations and data complexity</t>
  </si>
  <si>
    <t>Prerequisites / blockers</t>
  </si>
  <si>
    <t>S4</t>
  </si>
  <si>
    <t>SAP S/4HANA</t>
  </si>
  <si>
    <t>Open questions</t>
  </si>
  <si>
    <t>https://help.sap.com/docs/SAP_S4HANA_ON-PREMISE/91af7f8d3acd47da90d33aaacfcd0d59/dad2402e2ff543e7971d788bf35b12c1.html</t>
  </si>
  <si>
    <t>2 - Conditional</t>
  </si>
  <si>
    <t>Value 1–5</t>
  </si>
  <si>
    <t>Documented interface; narrower or higher effort</t>
  </si>
  <si>
    <t>Dependency readiness</t>
  </si>
  <si>
    <t>Purchase requisition OData V4; authorized roles required</t>
  </si>
  <si>
    <t>Confirmed demand, account and test environment</t>
  </si>
  <si>
    <t>Reach 1–5</t>
  </si>
  <si>
    <t>Roadmap 35% and 8–12 week estimate are internal assertions, not independently verified.</t>
  </si>
  <si>
    <t>1 missing sponsor/spec; 3 potential tenant; 5 ready sandbox</t>
  </si>
  <si>
    <t>Roadmap planning claim alone does not prove a live sandbox</t>
  </si>
  <si>
    <t>Fit 1–5</t>
  </si>
  <si>
    <t>Ease 1–5</t>
  </si>
  <si>
    <t>3 - Demand led</t>
  </si>
  <si>
    <t>Documented but narrow</t>
  </si>
  <si>
    <t>Readiness 1–5</t>
  </si>
  <si>
    <t>SF</t>
  </si>
  <si>
    <t>Named customer and commercial case</t>
  </si>
  <si>
    <t>SAP SuccessFactors</t>
  </si>
  <si>
    <t>Access feasibility</t>
  </si>
  <si>
    <t>Access 1–5</t>
  </si>
  <si>
    <t>https://help.sap.com/docs/successfactors-platform/sap-successfactors-api-reference-guide-odata-v2/list-of-sap-successfactors-api-servers</t>
  </si>
  <si>
    <t>1 rights unavailable/unverified; 3 enrollment/contract; 5 self-service</t>
  </si>
  <si>
    <t>D - Discovery</t>
  </si>
  <si>
    <t>Public docs do not imply AURA has production entitlement</t>
  </si>
  <si>
    <t>Official evidence URL(s)</t>
  </si>
  <si>
    <t>Exact route, identity or access rights unverified</t>
  </si>
  <si>
    <t>Provider-approved contract, owner, sandbox and use case</t>
  </si>
  <si>
    <t>Detailed connector document</t>
  </si>
  <si>
    <t>SuccessFactors OData API servers documented</t>
  </si>
  <si>
    <t>Roadmap 6–10 week estimate not independently validated.</t>
  </si>
  <si>
    <t>SN</t>
  </si>
  <si>
    <t>ServiceNow</t>
  </si>
  <si>
    <t>https://www.servicenow.com/docs/r/zurich/api-reference/rest-apis/c_TableAPI.html</t>
  </si>
  <si>
    <t>ServiceNow Table API documented</t>
  </si>
  <si>
    <t>Roadmap timing is planning estimate.</t>
  </si>
  <si>
    <t>Roadmap assumption</t>
  </si>
  <si>
    <t>Assessment</t>
  </si>
  <si>
    <t>SPL</t>
  </si>
  <si>
    <t>S/4HANA first; 35% complete</t>
  </si>
  <si>
    <t>SPL National Address</t>
  </si>
  <si>
    <t>Commercial priority recognized; progress and pipeline are internal claims to validate.</t>
  </si>
  <si>
    <t>https://splonline.com.sa/en/national-address-api/</t>
  </si>
  <si>
    <t>Formula / rule</t>
  </si>
  <si>
    <t>National Address API offered; registration/product access to confirm</t>
  </si>
  <si>
    <t>Definition</t>
  </si>
  <si>
    <t>Enterprise</t>
  </si>
  <si>
    <t>Roadmap calls this an open quick win; exact product access and production terms still need confirmation.</t>
  </si>
  <si>
    <t>Saudi open API squad</t>
  </si>
  <si>
    <t>SPL product exists; Etimad product and ZATCA direct vs intermediary scope need specific onboarding.</t>
  </si>
  <si>
    <t>ORACLE</t>
  </si>
  <si>
    <t>Oracle Fusion ERP / HCM</t>
  </si>
  <si>
    <t>https://docs.oracle.com/en/cloud/saas/human-resources/farws/index.html</t>
  </si>
  <si>
    <t>Fusion HCM REST API documented</t>
  </si>
  <si>
    <t>6–12 / 4–10 / 3–9+ weeks</t>
  </si>
  <si>
    <t>Priority score</t>
  </si>
  <si>
    <t>Roadmap 8–12 weeks assumes accessible tenant and narrow pack.</t>
  </si>
  <si>
    <t>Roadmap planning ranges; not independently validated delivery commitments.</t>
  </si>
  <si>
    <t>ROUND(weighted sum of the six 1–5 ratings / 5, 0). The six weights sum to 100. This is the only numeric priority score.</t>
  </si>
  <si>
    <t>ORACLEPR</t>
  </si>
  <si>
    <t>https://docs.oracle.com/en/cloud/saas/procurement/26c/fapra/api-purchase-requisitions.html</t>
  </si>
  <si>
    <t>Procurement requisition REST resource</t>
  </si>
  <si>
    <t>Build eligible when the documented interface and access route can be pursued with customer/provider onboarding; otherwise Discovery required.</t>
  </si>
  <si>
    <t>DV</t>
  </si>
  <si>
    <t>Dynamics 365 / Dataverse</t>
  </si>
  <si>
    <t>https://learn.microsoft.com/en-us/power-apps/developer/data-platform/webapi/overview</t>
  </si>
  <si>
    <t>Ranking</t>
  </si>
  <si>
    <t>Dataverse Web API documented</t>
  </si>
  <si>
    <t>Roadmap groups this with ServiceNow; use case depends on tenant.</t>
  </si>
  <si>
    <t>Build eligible connectors first, ordered by descending Priority Score; then Discovery required connectors ordered by score. Rank is a snapshot; sort again after changing inputs.</t>
  </si>
  <si>
    <t>PAY</t>
  </si>
  <si>
    <t>PayTabs</t>
  </si>
  <si>
    <t>https://docs.paytabs.com/manuals/PT-API-Endpoints/Integration-Types-Manuals/Hosted-Payment-Page/HPP-Landing-Page/</t>
  </si>
  <si>
    <t>Wave 1</t>
  </si>
  <si>
    <t>Hosted payment API integration documentation</t>
  </si>
  <si>
    <t>Project guide /request and /query align conceptually; exact fields/region endpoints need merchant docs.</t>
  </si>
  <si>
    <t>Build eligible with Priority Score ≥80. Customer tenant/product entitlement and scenario sign-off remain release prerequisites.</t>
  </si>
  <si>
    <t>P-02</t>
  </si>
  <si>
    <t>Project guide</t>
  </si>
  <si>
    <t>02-02-paytabs.docx</t>
  </si>
  <si>
    <t>Gateway route/auth/payload proposal; not proof of production access</t>
  </si>
  <si>
    <t>Wave 2 / 3</t>
  </si>
  <si>
    <t>Build eligible with Priority Score 60–79 / &lt;60, respectively.</t>
  </si>
  <si>
    <t>NAF</t>
  </si>
  <si>
    <t>Nafath</t>
  </si>
  <si>
    <t>https://my.gov.sa/en/services/119727</t>
  </si>
  <si>
    <t>Discovery gate</t>
  </si>
  <si>
    <t>National single sign-on service; AURA onboarding/API unverified</t>
  </si>
  <si>
    <t>Exact provider identity, supported interface or AURA integration rights unverified: D regardless of score. Start access discovery in parallel with build waves.</t>
  </si>
  <si>
    <t>Roadmap correctly calls this gated; no public implementation contract established.</t>
  </si>
  <si>
    <t>QIW</t>
  </si>
  <si>
    <t>Qiwa</t>
  </si>
  <si>
    <t>https://qiwa.sa/en/services</t>
  </si>
  <si>
    <t>Qiwa services; external API access unverified</t>
  </si>
  <si>
    <t>Roadmap access track is appropriate; portal service is not evidence of open API.</t>
  </si>
  <si>
    <t>ETI</t>
  </si>
  <si>
    <t>Etimad APIs</t>
  </si>
  <si>
    <t>https://apiportal.etimad.sa/en/get-started</t>
  </si>
  <si>
    <t>Developer portal access steps; exact AURA procurement product to confirm</t>
  </si>
  <si>
    <t>Roadmap assumes sandbox now/production later; product-specific access remains unverified.</t>
  </si>
  <si>
    <t>Evidence rule</t>
  </si>
  <si>
    <t>Use official pages to confirm provider interface and access; project guides are proposed/owner baselines, not proof of AURA entitlement.</t>
  </si>
  <si>
    <t>ABS</t>
  </si>
  <si>
    <t>Absher</t>
  </si>
  <si>
    <t>https://www.absher.sa/wps/portal/business/Home</t>
  </si>
  <si>
    <t>Absher Business service; direct API unverified</t>
  </si>
  <si>
    <t>Roadmap says Absher direct on demand; portal does not prove a direct API.</t>
  </si>
  <si>
    <t>Permissions</t>
  </si>
  <si>
    <t>Provider onboarding and commercial agreement separated from law. Legal field says Not verified unless an applicable official requirement is established.</t>
  </si>
  <si>
    <t>GOS</t>
  </si>
  <si>
    <t>GOSI</t>
  </si>
  <si>
    <t>https://www.gosi.gov.sa/GOSIOnline/Services&amp;locale=en_US</t>
  </si>
  <si>
    <t>GOSI electronic services; external API access unverified</t>
  </si>
  <si>
    <t>Roadmap gated timing reflects provider dependency, not engineering estimate.</t>
  </si>
  <si>
    <t>MUQ</t>
  </si>
  <si>
    <t>Muqeem</t>
  </si>
  <si>
    <t>https://elm.sa/en/our-business/digital-products/Pages/security-products.aspx</t>
  </si>
  <si>
    <t>Unknown when provider identity/access makes engineering assessment unreliable; otherwise includes integration, testing and operations.</t>
  </si>
  <si>
    <t>Elm product context; Muqeem API rights unverified</t>
  </si>
  <si>
    <t>Roadmap lists gated service; no public API contract verified.</t>
  </si>
  <si>
    <t>YAQ</t>
  </si>
  <si>
    <t>Yaqeen</t>
  </si>
  <si>
    <t>Direct route</t>
  </si>
  <si>
    <t>Direct is an approach under each provider, never a separate connector row.</t>
  </si>
  <si>
    <t>Elm verification product context; exact API rights unverified</t>
  </si>
  <si>
    <t>Public product context does not validate attached-style generic national API access.</t>
  </si>
  <si>
    <t>ZAT</t>
  </si>
  <si>
    <t>ZATCA Integration Service</t>
  </si>
  <si>
    <t>https://zatca.gov.sa/en/E-Invoicing/SystemsDevelopers/Pages/default.aspx</t>
  </si>
  <si>
    <t>Official e-invoicing developer guidance; intermediary paths not established</t>
  </si>
  <si>
    <t>Roadmap labels ZATCA sandbox; guide documents non-ZATCA billing gateway routes.</t>
  </si>
  <si>
    <t>P-01</t>
  </si>
  <si>
    <t>01-01-zatca.docx</t>
  </si>
  <si>
    <t>Scope</t>
  </si>
  <si>
    <t>Exactly 24 named Saudi services and 6 enterprise systems. Composite names retained as requested.</t>
  </si>
  <si>
    <t>NIC</t>
  </si>
  <si>
    <t>https://sdaia.gov.sa/en/Sectors/Nic/Pages/default.aspx</t>
  </si>
  <si>
    <t>NIC institutional scope; attached routes not established</t>
  </si>
  <si>
    <t>Guide endpoints are project-owned contract claims, not public NIC API documentation.</t>
  </si>
  <si>
    <t>P-04</t>
  </si>
  <si>
    <t>04-04-nic.docx</t>
  </si>
  <si>
    <t>IATA</t>
  </si>
  <si>
    <t>https://www.iata.org/en/services/data/travel-agent/global-data-products/checkacode-webservice/</t>
  </si>
  <si>
    <t>CheckACode commercial web service exists; gateway route differs</t>
  </si>
  <si>
    <t>Official product exists; attached headers/endpoint not confirmed by public product page.</t>
  </si>
  <si>
    <t>P-14</t>
  </si>
  <si>
    <t>14-14-iata.docx</t>
  </si>
  <si>
    <t>MC</t>
  </si>
  <si>
    <t>Ministry of Commerce</t>
  </si>
  <si>
    <t>https://mc.gov.sa/ar/About/Statistics/Documents/MC%20CR%20restapi.pdf</t>
  </si>
  <si>
    <t>Official CR statistics REST API; not personal CR or notification gateway</t>
  </si>
  <si>
    <t>Official CR statistics API is not evidence for personal relationship or /UpdateCRStatus routes.</t>
  </si>
  <si>
    <t>P-06</t>
  </si>
  <si>
    <t>06-06-ministry-of-commerce.docx</t>
  </si>
  <si>
    <t>Build eligible</t>
  </si>
  <si>
    <t>High</t>
  </si>
  <si>
    <t>MUD</t>
  </si>
  <si>
    <t>Mudad</t>
  </si>
  <si>
    <t>https://mudad.com.sa/landing-page/what-we-offer</t>
  </si>
  <si>
    <t>Mudad payroll/wage services; API unverified</t>
  </si>
  <si>
    <t>• Employee sign-in and directory profile
• Mail, calendar, Teams and file actions in AURA</t>
  </si>
  <si>
    <t>Roadmap on-demand stance is consistent with unverified interface.</t>
  </si>
  <si>
    <t>Broad daily reach and reusable identity/collaboration layer</t>
  </si>
  <si>
    <t>SAD</t>
  </si>
  <si>
    <t>• Use Entra OAuth2/OIDC for sign-in and Graph REST for selected actions
• Choose delegated or app permissions per workflow
• Use supported change notifications where needed</t>
  </si>
  <si>
    <t>SADAD</t>
  </si>
  <si>
    <t>Official Graph APIs documented</t>
  </si>
  <si>
    <t>https://www.sama.gov.sa/en-US/payment/Pages/SADAD.aspx</t>
  </si>
  <si>
    <t>• Customer Microsoft tenant and app registration
• Application permissions need tenant admin consent</t>
  </si>
  <si>
    <t>SADAD service existence; not the attached biller gateway contract</t>
  </si>
  <si>
    <t>Medium</t>
  </si>
  <si>
    <t>Project guide defines bill creation only; official SADAD overview does not validate route or settlement.</t>
  </si>
  <si>
    <t>• Least-privilege scopes vary by action
• Tenant governance, throttling and notification lifecycle add work</t>
  </si>
  <si>
    <t>• Register AURA in the customer tenant
• Obtain consent for the selected Graph scopes; commercial terms depend on tenant licensing</t>
  </si>
  <si>
    <t>Not verified as a generic legal requirement</t>
  </si>
  <si>
    <t>• Customer tenant/admin sponsor and permission matrix
• Agree retention rules and initial mail, calendar or file journeys</t>
  </si>
  <si>
    <t>P-03</t>
  </si>
  <si>
    <t>Which actions require delegated user context versus app-only?</t>
  </si>
  <si>
    <t>03-03-sadad.docx</t>
  </si>
  <si>
    <t>Open detailed assessment</t>
  </si>
  <si>
    <t>AJE</t>
  </si>
  <si>
    <t>Ajeer</t>
  </si>
  <si>
    <t>https://ajeer.qiwa.sa/landing/services</t>
  </si>
  <si>
    <t>Ajeer labor services; API unverified</t>
  </si>
  <si>
    <t>Roadmap on demand; official site shows services, not external API.</t>
  </si>
  <si>
    <t>CRS</t>
  </si>
  <si>
    <t>https://www.nusuk.sa/umrah</t>
  </si>
  <si>
    <t>Travel ecosystem context only; CRS vendor/rights not identified</t>
  </si>
  <si>
    <t>CRS is a hotel reservation role, not a uniquely identified provider.</t>
  </si>
  <si>
    <t>P-10</t>
  </si>
  <si>
    <t>10-10-crs.docx</t>
  </si>
  <si>
    <t>SAR</t>
  </si>
  <si>
    <t>SAR through Masar Integration Gateway</t>
  </si>
  <si>
    <t>https://www.sar.com.sa/</t>
  </si>
  <si>
    <t>SAR rail service; Masar gateway rights/routes not established</t>
  </si>
  <si>
    <t>Official SAR customer site does not validate Masar routes or party key.</t>
  </si>
  <si>
    <t>P-11</t>
  </si>
  <si>
    <t>11-11-sar-masar-gateway.docx</t>
  </si>
  <si>
    <t>MOFA</t>
  </si>
  <si>
    <t>https://visa.mofa.gov.sa/</t>
  </si>
  <si>
    <t>Visa service existence; TIBCO registration route not established</t>
  </si>
  <si>
    <t>Official visa portal does not establish the guide’s intermediary endpoint.</t>
  </si>
  <si>
    <t>P-07</t>
  </si>
  <si>
    <t>07-07-mofa.docx</t>
  </si>
  <si>
    <t>MOI</t>
  </si>
  <si>
    <t>MOI business channel existence; Umrah-agent route not established</t>
  </si>
  <si>
    <t>Guide uses MOI label but endpoint ownership/directness is unverified.</t>
  </si>
  <si>
    <t>P-05</t>
  </si>
  <si>
    <t>05-05-moi.docx</t>
  </si>
  <si>
    <t>NUS</t>
  </si>
  <si>
    <t>Nusuk Imtithal / Sahab</t>
  </si>
  <si>
    <t>https://my.gov.sa/en/services/2832279</t>
  </si>
  <si>
    <t>Nusuk integration channel exists; inspection details contract unverified</t>
  </si>
  <si>
    <t>Official integration channel does not validate this inspection gateway; guide covers outbound only.</t>
  </si>
  <si>
    <t>P-09</t>
  </si>
  <si>
    <t>09-09-nusuk-imtithal-sahab.docx</t>
  </si>
  <si>
    <t>TAS</t>
  </si>
  <si>
    <t>Tasheer Connect</t>
  </si>
  <si>
    <t>https://vc.tasheer.com/</t>
  </si>
  <si>
    <t>Tasheer visa-center service; Connect API not publicly verified</t>
  </si>
  <si>
    <t>Guide contract has no independently verifiable public Tasheer API.</t>
  </si>
  <si>
    <t>P-08</t>
  </si>
  <si>
    <t>08-08-tasheer-connect.docx</t>
  </si>
  <si>
    <t>ATL</t>
  </si>
  <si>
    <t>Atlas</t>
  </si>
  <si>
    <t>https://www.nusuk.sa/</t>
  </si>
  <si>
    <t>Travel ecosystem context only; Atlas operator unverified</t>
  </si>
  <si>
    <t>Atlas describes data in guide; official operator not identifiable.</t>
  </si>
  <si>
    <t>P-13</t>
  </si>
  <si>
    <t>13-13-atlas.docx</t>
  </si>
  <si>
    <t>• Create or track procurement requests and orders
• Show invoice status, supplier data and selected approvals</t>
  </si>
  <si>
    <t>Live pipeline and core execution system; roadmap states first enterprise release</t>
  </si>
  <si>
    <t>• Start with selected OData APIs in the customer S/4 tenant
• Use tenant communication and authorized business roles
• Map request IDs and reconcile status by supported API/event</t>
  </si>
  <si>
    <t>Official OData API documented</t>
  </si>
  <si>
    <t>• Customer-controlled S/4 environment
• Only users or integrations with the required business roles</t>
  </si>
  <si>
    <t>KID</t>
  </si>
  <si>
    <t>Kidana</t>
  </si>
  <si>
    <t>https://kidana.com.sa/</t>
  </si>
  <si>
    <t>• Edition and release change API behavior
• Business-role mapping, testing and reconciliation are substantial</t>
  </si>
  <si>
    <t>Kidana organization; handover API not publicly verified</t>
  </si>
  <si>
    <t>Public provider page does not verify handover endpoint.</t>
  </si>
  <si>
    <t>• Provision a customer tenant or sandbox and API roles
• Sign off the first procurement/invoice scenarios with the customer</t>
  </si>
  <si>
    <t>• Confirm S/4 edition, tenant and scoped roles
• Select the first two workflows; verify roadmap progress and access</t>
  </si>
  <si>
    <t>Validate claimed 35% progress and customer sandboxes; which PR/PO/status actions are in scope?</t>
  </si>
  <si>
    <t>P-12</t>
  </si>
  <si>
    <t>12-12-kidana.docx</t>
  </si>
  <si>
    <t>• Show employee and organization information
• Track leave and HR request status where modules support it</t>
  </si>
  <si>
    <t>Primary HR source for SAP customers</t>
  </si>
  <si>
    <t>• Use supported OData entities with OAuth2 API client
• Sync only approved HR fields; use delta/event capability if enabled
• Map external employee IDs and request outcomes</t>
  </si>
  <si>
    <t>• Customer SuccessFactors test/production tenant
• API access and role-based permissions set by customer</t>
  </si>
  <si>
    <t>• Sensitive HR data needs narrow field scope
• Entity permissions, pagination and tenant-specific schema vary</t>
  </si>
  <si>
    <t>• Register API client in the customer tenant
• Grant OData and role-based permissions for selected entities</t>
  </si>
  <si>
    <t>• Test tenant and HR data owner
• Confirm licensed modules, field map and leave actions</t>
  </si>
  <si>
    <t>Which Employee Central modules and leave transactions are licensed?</t>
  </si>
  <si>
    <t>• Submit employee IT incidents or service requests
• Display approval and ticket status in AURA</t>
  </si>
  <si>
    <t>Strong employee service desk execution and ticket transparency</t>
  </si>
  <si>
    <t>• Use approved Service Catalog/Table REST resources
• Authenticate with configured OAuth/API identity and ACLs
• Map ticket IDs and update status through events or polling</t>
  </si>
  <si>
    <t>Official REST Table API documented</t>
  </si>
  <si>
    <t>• Customer ServiceNow instance
• API identity needs table/catalog ACLs</t>
  </si>
  <si>
    <t>• Catalog items and fields vary by customer
• ACLs and two-way status mapping require testing</t>
  </si>
  <si>
    <t>• Obtain a nonproduction customer instance
• Set API identity/OAuth and catalog permissions</t>
  </si>
  <si>
    <t>• Choose exact catalog items and request owner
• Agree approval transitions and status mapping</t>
  </si>
  <si>
    <t>Which catalog items and approval transitions are allowed?</t>
  </si>
  <si>
    <t>Saudi</t>
  </si>
  <si>
    <t>• Validate employee or office national address
• Use verified address data for onboarding/service delivery</t>
  </si>
  <si>
    <t>Saudi-local onboarding quality with broad reach</t>
  </si>
  <si>
    <t>• Subscribe to the applicable SPL API product
• Call approved address verification/retrieval operation
• Store or cache results only under product terms</t>
  </si>
  <si>
    <t>Official National Address API advertised</t>
  </si>
  <si>
    <t>• Developer/business registration is available
• Specific API product and production entitlement need confirmation</t>
  </si>
  <si>
    <t>• Address matching and incomplete input need handling
• Subscription terms, personal data and test cases add work</t>
  </si>
  <si>
    <t>• Create SPL developer/business account
• Confirm relevant product subscription and production terms</t>
  </si>
  <si>
    <t>Not verified; confirm data handling with SPL/customer</t>
  </si>
  <si>
    <t>• Obtain sample requests/responses and credentials
• Confirm individual-address use and allowed data retention</t>
  </si>
  <si>
    <t>Does AURA qualify for individual address lookup and production use?</t>
  </si>
  <si>
    <t>• Read worker and leave information
• Create or track procurement requisitions</t>
  </si>
  <si>
    <t>Large-enterprise alternative to SAP</t>
  </si>
  <si>
    <t>• Use selected Fusion HCM/Procurement REST resources
• Follow the customer environment’s approved authentication policy
• Map request IDs and poll or use approved events for status</t>
  </si>
  <si>
    <t>Official REST resources documented</t>
  </si>
  <si>
    <t>• Customer Fusion environment and module access
• Roles restrict HCM and procurement resources</t>
  </si>
  <si>
    <t>• Security roles and modules differ by customer
• Large payloads and environment access complicate testing</t>
  </si>
  <si>
    <t>• Obtain customer tenant and required module licenses
• Provision REST roles and a test environment</t>
  </si>
  <si>
    <t>• Select one HCM and one ERP workflow
• Confirm sandbox, roles, field map and data owner</t>
  </si>
  <si>
    <t>Which modules and customer security policy are present?</t>
  </si>
  <si>
    <t>https://docs.oracle.com/en/cloud/saas/human-resources/farws/index.html | https://docs.oracle.com/en/cloud/saas/procurement/26c/fapra/api-purchase-requisitions.html</t>
  </si>
  <si>
    <t>• Create or view customer/employee service cases
• Show case progress in AURA</t>
  </si>
  <si>
    <t>Reusable Microsoft ecosystem extension</t>
  </si>
  <si>
    <t>• Use Dataverse Web API with Entra OAuth
• Choose app user or delegated access and table security roles
• Use configured change tracking/events for updates</t>
  </si>
  <si>
    <t>Official Web API documented</t>
  </si>
  <si>
    <t>• Customer Dataverse environment
• Licensed app/tables and security roles control access</t>
  </si>
  <si>
    <t>• Custom tables and business rules differ by tenant
• Application-user roles and governance need review</t>
  </si>
  <si>
    <t>• Register the app and environment application user
• Grant only the required table/security roles</t>
  </si>
  <si>
    <t>• Identify the Dynamics workload and target tables
• Obtain customer tenant and test records</t>
  </si>
  <si>
    <t>Which Dynamics app and tables hold employee requests?</t>
  </si>
  <si>
    <t>• Collect a fee for an eligible employee service
• Reconcile payment before fulfilling the request</t>
  </si>
  <si>
    <t>Monetization only where AURA owns a payable journey</t>
  </si>
  <si>
    <t>• Create hosted payment request server-side and redirect user
• Verify callback through server query before marking paid
• Reconcile timeout, refund and duplicate states</t>
  </si>
  <si>
    <t>Official PayTabs integration documentation</t>
  </si>
  <si>
    <t>• Merchant account and commercial onboarding
• Server credentials stay with the merchant backend</t>
  </si>
  <si>
    <t>• Payment state and callback validation are sensitive
• Refunds, reconciliation and ambiguous outcomes need testing</t>
  </si>
  <si>
    <t>• Sign merchant agreement and obtain profile/server key
• Configure sandbox and approved callback URL</t>
  </si>
  <si>
    <t>Not verified; payment obligations require specific jurisdictional review</t>
  </si>
  <si>
    <t>• Name merchant of record and paid service
• Assign finance owner and settlement process</t>
  </si>
  <si>
    <t>Who is merchant of record, and which employee services are paid?</t>
  </si>
  <si>
    <t>• Validate a travel agency code during vendor onboarding
• Record valid/invalid result and freshness</t>
  </si>
  <si>
    <t>Useful for a narrow travel partner workflow</t>
  </si>
  <si>
    <t>• Use licensed CheckACode Web Service under IATA contract
• Confirm the attached /checkacode route and headers with vendor
• Match response by code and retain freshness metadata</t>
  </si>
  <si>
    <t>Official commercial CheckACode API product</t>
  </si>
  <si>
    <t>• Commercial IATA product/subscription
• Exact attached gateway credential route is not publicly verified</t>
  </si>
  <si>
    <t>• Product entitlement and response freshness need agreement
• Attached credential format and batch behavior need testing</t>
  </si>
  <si>
    <t>• Confirm product eligibility and purchase terms
• Obtain licensed API contract and test credentials</t>
  </si>
  <si>
    <t>Not verified</t>
  </si>
  <si>
    <t>• Confirm travel-agency validation is needed
• Approve budget, contract and permitted code use</t>
  </si>
  <si>
    <t>Is AURA a licensed subscriber, and is the gateway route IATA direct?</t>
  </si>
  <si>
    <t>Discovery required</t>
  </si>
  <si>
    <t>Low</t>
  </si>
  <si>
    <t>• Verify national digital identity for an employee journey
• Potentially support trusted sign-in or approval</t>
  </si>
  <si>
    <t>High potential trust and reach</t>
  </si>
  <si>
    <t>• Proposed: integrate only through an approved identity flow
• Request provider contract before selecting endpoints/auth
• Use governed handoff while access is unresolved</t>
  </si>
  <si>
    <t>Official national SSO service; AURA API contract unverified</t>
  </si>
  <si>
    <t>• Government-approved relying-party route not established for AURA
• No public AURA-ready endpoint confirmed</t>
  </si>
  <si>
    <t>• Identity assurance and security testing are demanding
• External eligibility and approval are the main gate</t>
  </si>
  <si>
    <t>• Identify provider sponsor and relying-party eligibility
• Confirm onboarding process and entitlement; terms not verified</t>
  </si>
  <si>
    <t>• Confirm AURA/customer eligibility and use case
• Obtain approved test environment and technical contract</t>
  </si>
  <si>
    <t>Can AURA qualify directly or through a licensed integrator?</t>
  </si>
  <si>
    <t>• Show employment-contract or job-change status
• Guide employee through selected labor service</t>
  </si>
  <si>
    <t>Major Saudi employee lifecycle value</t>
  </si>
  <si>
    <t>• Proposed: use partner/customer route only after API rights are confirmed
• Otherwise direct user to the official workflow
• Do not assume a public execution API</t>
  </si>
  <si>
    <t>Official service portal; external API unverified</t>
  </si>
  <si>
    <t>• Qiwa portal services are documented
• External API and AURA access rights remain unverified</t>
  </si>
  <si>
    <t>• Employment data and process rules are sensitive
• Provider entitlement is unresolved</t>
  </si>
  <si>
    <t>• Find employer sponsor and chosen Qiwa service
• Seek provider agreement and machine-access terms</t>
  </si>
  <si>
    <t>• Choose exact contract/job-change action
• Confirm customer authority and supported interface</t>
  </si>
  <si>
    <t>Is there a supported external interface for the chosen service?</t>
  </si>
  <si>
    <t>• Show public-sector procurement information
• Track a selected government purchase request</t>
  </si>
  <si>
    <t>Strategic for Saudi government customers</t>
  </si>
  <si>
    <t>• Register in Etimad developer portal
• Subscribe to the exact approved API product
• Implement its published contract after catalog/sandbox review</t>
  </si>
  <si>
    <t>Official developer portal; exact product not selected</t>
  </si>
  <si>
    <t>• Portal serves eligible beneficiary groups
• Entitlement is specific to each API product</t>
  </si>
  <si>
    <t>• Available product may not match AURA’s request
• Customer eligibility and production subscription need checking</t>
  </si>
  <si>
    <t>• Create portal account and select API product
• Confirm customer eligibility and subscription approval</t>
  </si>
  <si>
    <t>• Name the procurement workflow and API product
• Get sandbox access and production-use terms</t>
  </si>
  <si>
    <t>Which Etimad APIs support AURA’s exact request and who is eligible?</t>
  </si>
  <si>
    <t>• Guide employees to a government transaction
• Show status only if an authorized route exists</t>
  </si>
  <si>
    <t>Broad recognition but direct execution rights uncertain</t>
  </si>
  <si>
    <t>• Prefer official employee handoff now
• Proposed direct integration only after sanctioned contract and API spec
• Keep transaction ownership with authorized party</t>
  </si>
  <si>
    <t>Official Absher Business portal; direct API unverified</t>
  </si>
  <si>
    <t>• Official business portal exists
• Direct AURA API access is unverified</t>
  </si>
  <si>
    <t>• Government transaction permissions are uncertain
• Identity, authorization and transaction ownership add risk</t>
  </si>
  <si>
    <t>• Confirm whether approved provider route exists
• Use handoff design if no sanctioned integration</t>
  </si>
  <si>
    <t>• Select exact employee transaction
• Verify enterprise eligibility and provider owner</t>
  </si>
  <si>
    <t>Does any direct API exist for AURA’s use case?</t>
  </si>
  <si>
    <t>• Show social-insurance status when authorized
• Support employer contribution visibility</t>
  </si>
  <si>
    <t>Useful for HR verification in Saudi employers</t>
  </si>
  <si>
    <t>• Proposed: use approved GOSI/customer contract if available
• Request technical interface before implementation
• Avoid assuming a generic public API</t>
  </si>
  <si>
    <t>Official e-services; external API unverified</t>
  </si>
  <si>
    <t>• Official e-services exist
• External machine access for AURA is unverified</t>
  </si>
  <si>
    <t>• Government data rights and identity controls are significant
• Access route and test data are unresolved</t>
  </si>
  <si>
    <t>• Obtain employer authority and service scope
• Confirm provider-approved route and sandbox</t>
  </si>
  <si>
    <t>• Name data owner and permitted purpose
• Secure gateway sponsor, contract and test environment</t>
  </si>
  <si>
    <t>Can employer obtain sanctioned machine access?</t>
  </si>
  <si>
    <t>• Track expatriate residency or visa services
• Present employee status or official handoff</t>
  </si>
  <si>
    <t>Relevant to Saudi employer mobility workflows</t>
  </si>
  <si>
    <t>• Proposed: use customer-authorized Muqeem contract if offered
• Otherwise provide governed employee handoff
• Do not infer API operations</t>
  </si>
  <si>
    <t>Service product context; external API unverified</t>
  </si>
  <si>
    <t>• Commercial customer/provider rights may be required
• External AURA API entitlement unverified</t>
  </si>
  <si>
    <t>• Immigration data requires careful authorization
• Provider approval and transaction rules are unknown</t>
  </si>
  <si>
    <t>• Confirm employer subscription and partner eligibility
• Obtain provider agreement for selected transaction</t>
  </si>
  <si>
    <t>• Specify residency/visa transaction
• Confirm authorized tenant and access contract</t>
  </si>
  <si>
    <t>Is API access offered to AURA for this transaction?</t>
  </si>
  <si>
    <t>• Verify selected employee/beneficiary identity fields
• Improve onboarding data quality</t>
  </si>
  <si>
    <t>Improves data quality and fraud controls for eligible workflows</t>
  </si>
  <si>
    <t>• Proposed: use an Elm-approved product/partner route
• Obtain exact API contract and purpose limits first
• Send only approved verification fields</t>
  </si>
  <si>
    <t>Elm verification service context; exact API unverified</t>
  </si>
  <si>
    <t>• Commercial/provider-approved access
• AURA’s exact API and permitted purpose are unverified</t>
  </si>
  <si>
    <t>• Identity data is sensitive
• Eligibility, allowed fields and credential rules need confirmation</t>
  </si>
  <si>
    <t>• Discuss agreement and intended purpose with Elm
• Request test credentials and commercial terms</t>
  </si>
  <si>
    <t>• Define identity-check decision and legal purpose
• Confirm eligible customer and provider entitlement</t>
  </si>
  <si>
    <t>What fields and verification purpose are permitted?</t>
  </si>
  <si>
    <t>• Issue an invoice for a paid employee service
• Retrieve invoice status or file for finance</t>
  </si>
  <si>
    <t>Useful finance workflow only when AURA bills locally</t>
  </si>
  <si>
    <t>• Attached /billing/v3 is an intermediary contract, not direct ZATCA
• Direct Fatoora route needs its own EGS specification/onboarding
• Reconcile accepted invoice IDs and unknown outcomes</t>
  </si>
  <si>
    <t>Official Fatoora program; attached intermediary contract unverified externally</t>
  </si>
  <si>
    <t>• Direct route requires applicable taxpayer/solution onboarding
• Intermediary route requires separate gateway agreement</t>
  </si>
  <si>
    <t>• Tax profile, signing/compliance and reconciliation are complex
• Gateway rights and exact route must be separated</t>
  </si>
  <si>
    <t>• Direct: complete applicable Fatoora EGS onboarding
• Intermediary: obtain owner-issued credentials and contract</t>
  </si>
  <si>
    <t>ZATCA e-invoicing rules only if in-scope taxpayer; applicability to AURA Not verified</t>
  </si>
  <si>
    <t>• Confirm invoicing entity, VAT applicability and billing owner
• Choose direct or intermediary route and test in sandbox</t>
  </si>
  <si>
    <t>Does AURA issue tax invoices? Who owns intermediary contract and credentials?</t>
  </si>
  <si>
    <t>• Check Hajj person eligibility when authorized
• Validate/create/cancel worker permit in relevant program</t>
  </si>
  <si>
    <t>High for pilgrimage-sector operators; limited general hub reach</t>
  </si>
  <si>
    <t>• Attached guide proposes three separate gateway hosts
• Keep person, visitor quota and worker permit credentials distinct
• Confirm official contract before any permit write</t>
  </si>
  <si>
    <t>NIC institution official; gateway interfaces unverified publicly</t>
  </si>
  <si>
    <t>• Government-approved integration is required
• Attached routes do not prove AURA entitlement</t>
  </si>
  <si>
    <t>• Multiple hosts and authentication schemes
• Identity data and permit lifecycle need strict testing</t>
  </si>
  <si>
    <t>• Secure agency sponsor and gateway entitlements
• Obtain approved sandbox and field catalogs</t>
  </si>
  <si>
    <t>• Identify pilgrimage customer and permitted purpose
• Verify host owners, credentials and sample outcomes</t>
  </si>
  <si>
    <t>Who owns each gateway and can AURA act on behalf of employer?</t>
  </si>
  <si>
    <t>• Verify company commercial registration for agent onboarding
• Check owner relationship only if authorized</t>
  </si>
  <si>
    <t>Relevant to external organization validation</t>
  </si>
  <si>
    <t>• Project proposes token-protected CR and status gateway routes
• Official public CR statistics API is a different product
• Obtain owner-approved transactional contract before use</t>
  </si>
  <si>
    <t>Official CR statistics REST; transactional owner APIs not established</t>
  </si>
  <si>
    <t>• Transactional gateway entitlement unverified
• Public statistics API does not grant personal CR access</t>
  </si>
  <si>
    <t>• Identity-data rights and multiple tokens/hosts
• Project and official API products do not match</t>
  </si>
  <si>
    <t>• Find service/gateway owner and customer purpose
• Confirm authorized CR lookup and notification agreement</t>
  </si>
  <si>
    <t>• Define CR validation and owner-check rule
• Obtain approved sandbox, contract and status catalog</t>
  </si>
  <si>
    <t>Is transactional CR lookup available to AURA and via which owner?</t>
  </si>
  <si>
    <t>• Show payroll/WPS process status if authorized
• Assist employees with salary-related requests</t>
  </si>
  <si>
    <t>Valuable to HR/payroll customers but narrow employee-facing flow</t>
  </si>
  <si>
    <t>• Proposed: integrate through customer-approved payroll route
• Use governed handoff if external API is unavailable
• Do not infer Mudad endpoints</t>
  </si>
  <si>
    <t>Official platform; external API unverified</t>
  </si>
  <si>
    <t>• Official platform exists
• AURA external API and provider approval unverified</t>
  </si>
  <si>
    <t>• Payroll information is sensitive
• Service entitlement and permitted visibility are unclear</t>
  </si>
  <si>
    <t>• Obtain employer account and payroll owner
• Confirm provider contract and machine-access terms</t>
  </si>
  <si>
    <t>• Define employee view versus employer execution
• Verify approved data scope and customer sponsor</t>
  </si>
  <si>
    <t>Is machine interface available and what records may AURA receive?</t>
  </si>
  <si>
    <t>• Issue a bill reference for a paid service
• Reconcile settlement before completion</t>
  </si>
  <si>
    <t>Alternative payment rail where a biller relationship exists</t>
  </si>
  <si>
    <t>• Attached intermediary proposes bill creation only
• Contract separate status/notification and settlement flow
• Reconcile ambiguous bill or payment outcomes</t>
  </si>
  <si>
    <t>SADAD bill payment official; intermediary route unverified</t>
  </si>
  <si>
    <t>• Biller/intermediary relationship needed
• Attached route is not a public SADAD API</t>
  </si>
  <si>
    <t>• Biller onboarding and settlement gap
• Missing status contract prevents end-to-end payment flow</t>
  </si>
  <si>
    <t>• Confirm registered biller and intermediary agreement
• Obtain credentials plus reconciliation feed</t>
  </si>
  <si>
    <t>• Name merchant/biller owner and paid service
• Secure settlement contract and test bill data</t>
  </si>
  <si>
    <t>Who is registered biller? What is status/settlement API?</t>
  </si>
  <si>
    <t>• Show temporary-worker assignment/permit status
• Guide an eligible employer service request</t>
  </si>
  <si>
    <t>Sector-specific employee services</t>
  </si>
  <si>
    <t>• Proposed: select Ajeer service and approved customer route first
• Use official handoff if API rights unavailable
• No public API assumed</t>
  </si>
  <si>
    <t>• Official service portal exists
• Customer/provider machine access is unverified</t>
  </si>
  <si>
    <t>• Services have different eligibility rules
• Labor approvals and external access create dependencies</t>
  </si>
  <si>
    <t>• Confirm employer eligibility and chosen service
• Request provider agreement/technical route if offered</t>
  </si>
  <si>
    <t>• Choose exact assignment/permit journey
• Verify employer authority and supported interface</t>
  </si>
  <si>
    <t>Which Ajeer service, and does it offer partner machine access?</t>
  </si>
  <si>
    <t>• Search hotel availability for staff travel
• Reserve, modify or cancel a selected booking</t>
  </si>
  <si>
    <t>Potential travel benefits, but provider identity unresolved</t>
  </si>
  <si>
    <t>• Project gateway lists search/details/reservation/cancel routes
• Pause until the CRS operator, auth and rights are identified
• Reconcile booking reference before retrying writes</t>
  </si>
  <si>
    <t>Internal gateway inventory only; no identified official vendor API</t>
  </si>
  <si>
    <t>• CRS vendor identity unresolved
• No verified commercial or API access model</t>
  </si>
  <si>
    <t>Unknown</t>
  </si>
  <si>
    <t>• Unknown provider and authentication contract
• Price changes and booking liability add complexity</t>
  </si>
  <si>
    <t>• Identify legal CRS vendor and gateway owner
• Confirm booking agreement, rates and credentials</t>
  </si>
  <si>
    <t>• Resolve provider identity and travel owner
• Obtain test booking, cancellation and reconciliation rules</t>
  </si>
  <si>
    <t>Which CRS product/company operates this gateway?</t>
  </si>
  <si>
    <t>• Search and book rail for staff travel
• Pay, inquire or cancel using saved booking ID</t>
  </si>
  <si>
    <t>Sector-specific travel fulfilment</t>
  </si>
  <si>
    <t>• Attached Masar intermediary uses Basic auth and party-key
• Use /sar/shared routes only under approved gateway contract
• Inquire after ambiguous book/pay timeout</t>
  </si>
  <si>
    <t>SAR service official; Masar contract unverified</t>
  </si>
  <si>
    <t>• Intermediary/partner agreement required
• Official SAR site does not confirm Masar gateway rights</t>
  </si>
  <si>
    <t>• Booking and payment need reconciliation
• SAR/Masar commercial rights and test accounts are unresolved</t>
  </si>
  <si>
    <t>• Identify Masar legal operator and SAR commercial route
• Obtain party-key, credentials and test account</t>
  </si>
  <si>
    <t>• Confirm travel-booking owner and approved channel
• Get booking/payment/cancel test scenarios</t>
  </si>
  <si>
    <t>Which Masar legal entity and contract grants AURA booking rights?</t>
  </si>
  <si>
    <t>• Register an approved external agent for visa workflow
• Track accepted or rejected registration</t>
  </si>
  <si>
    <t>Narrow travel/pilgrimage operations</t>
  </si>
  <si>
    <t>• Project guide proposes TIBCO-mediated /sendeadata
• Use bearer credential only under owner-approved contract
• Reconcile duplicate or timeout before resubmission</t>
  </si>
  <si>
    <t>Official visa portal; TIBCO route unverified</t>
  </si>
  <si>
    <t>• Government/partner intermediary approval
• Public visa portal does not verify the gateway route</t>
  </si>
  <si>
    <t>• Agent data and duplicate handling require care
• Intermediary entitlement and code catalogs are unknown</t>
  </si>
  <si>
    <t>• Secure agency sponsor and intermediary agreement
• Confirm token issuance and permitted agent records</t>
  </si>
  <si>
    <t>• Identify authorized agent and business owner
• Obtain current route, codes and sandbox examples</t>
  </si>
  <si>
    <t>Is TIBCO gateway active and who issues credentials?</t>
  </si>
  <si>
    <t>• Create or update an Umrah agent record
• Track accepted/rejected agent status</t>
  </si>
  <si>
    <t>Narrow sector execution use case</t>
  </si>
  <si>
    <t>• Attached bearer gateway proposes create/update agent calls
• Validate provider ownership and status codes first
• Reconcile ambiguous create outcomes</t>
  </si>
  <si>
    <t>Official MOI business service context; exact API unverified</t>
  </si>
  <si>
    <t>• Government/partner route proposed
• Exact MOI gateway entitlement unverified</t>
  </si>
  <si>
    <t>• Agent permission and duplicate writes are sensitive
• Gateway ownership and outcome catalog unresolved</t>
  </si>
  <si>
    <t>• Find agent sponsor and gateway owner
• Obtain approved values, token and test contract</t>
  </si>
  <si>
    <t>• Confirm Umrah operator use case
• Verify route, entity authority and status catalog</t>
  </si>
  <si>
    <t>Is this MOI gateway current and available to AURA?</t>
  </si>
  <si>
    <t>• Send field-inspection and incident updates
• Correlate them to ticket and employee/location</t>
  </si>
  <si>
    <t>Pilgrimage operations, outside general employee hub</t>
  </si>
  <si>
    <t>• Project proposes outbound inspection-details POST with client headers
• Inbound ticket creation needs a separate contract
• Persist acknowledgement and reconcile duplicate updates</t>
  </si>
  <si>
    <t>Official integration-channel context; exact endpoint unverified</t>
  </si>
  <si>
    <t>• Government/partner access unverified
• Official integration-channel context does not validate this endpoint</t>
  </si>
  <si>
    <t>• Two-direction flow has missing inbound contract
• Identity, timestamps and event reconciliation need testing</t>
  </si>
  <si>
    <t>• Identify program owner and approved use case
• Confirm outbound credentials and inbound contract</t>
  </si>
  <si>
    <t>• Obtain inbound event spec and complete outbound URL
• Test with approved tickets and UTC timestamp rules</t>
  </si>
  <si>
    <t>Who owns Sahab endpoint and inbound ticket contract?</t>
  </si>
  <si>
    <t>• Submit a visa/travel service form
• Update email, change form or hold request</t>
  </si>
  <si>
    <t>Travel-specialist request execution</t>
  </si>
  <si>
    <t>• Project guide proposes /tasheerconnect/1 form routes
• Confirm current form/field catalog and bearer contract
• Persist request number and accepted state</t>
  </si>
  <si>
    <t>Official business service context; Connect API unverified</t>
  </si>
  <si>
    <t>• Partner-only route is proposed
• Public Tasheer service page does not verify Connect API</t>
  </si>
  <si>
    <t>• Form catalog and sensitive applicant data vary
• Vendor access and change rules need testing</t>
  </si>
  <si>
    <t>• Confirm Tasheer partnership and service contract
• Obtain current catalog, token and sandbox</t>
  </si>
  <si>
    <t>• Name selected form and expected travel volume
• Verify field rules and request-state outcomes</t>
  </si>
  <si>
    <t>Is Connect offered to AURA and under which agreement?</t>
  </si>
  <si>
    <t>• Sync nationality reference data
• Sync hotel lookup data for travel workflows</t>
  </si>
  <si>
    <t>Supporting lookup data for pilgrimage travel, narrow hub relevance</t>
  </si>
  <si>
    <t>• Project proposes bearer /GetNationalities and /GetHotels routes
• Identify Atlas operator before integrating
• Page through data and upsert by stable ID</t>
  </si>
  <si>
    <t>Internal gateway inventory only; identity unresolved</t>
  </si>
  <si>
    <t>• Atlas operator identity unresolved
• No verified data license or API entitlement</t>
  </si>
  <si>
    <t>• Unknown vendor and data provenance
• Paging, refresh and entitlement require validation</t>
  </si>
  <si>
    <t>• Identify legal operator and data license
• Confirm gateway contract and service token</t>
  </si>
  <si>
    <t>• Find lookup owner and accepted dataset
• Obtain sample pages, IDs and refresh rules</t>
  </si>
  <si>
    <t>Which Atlas product/company supplies this API?</t>
  </si>
  <si>
    <t>• Retrieve a Hajj-site handover report file
• Deliver it to an authorized employee</t>
  </si>
  <si>
    <t>Specialized Hajj operations</t>
  </si>
  <si>
    <t>• Project proposes GET handover file by reportId
• Verify endpoint and authorization with Kidana/owner
• Validate media type and access before storage</t>
  </si>
  <si>
    <t>Official organization context; handover API unverified</t>
  </si>
  <si>
    <t>• Partner/project access unknown
• Public Kidana site does not verify file API</t>
  </si>
  <si>
    <t>• File authorization and size/format checks
• Program-specific report entitlement is unclear</t>
  </si>
  <si>
    <t>• Secure Kidana project sponsorship
• Confirm report ID scope and authorization contract</t>
  </si>
  <si>
    <t>• Identify Hajj operator and file owner
• Confirm permitted storage and test report IDs</t>
  </si>
  <si>
    <t>Who owns report IDs and may AURA store files?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</si>
</sst>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sz val="10.0"/>
      <color rgb="FF1E293B"/>
      <name val="Arial"/>
    </font>
    <font>
      <b/>
      <sz val="14.0"/>
      <color rgb="FF17324D"/>
      <name val="Arial"/>
    </font>
    <font>
      <b/>
      <sz val="10.0"/>
      <color rgb="FFFFFFFF"/>
      <name val="Arial"/>
    </font>
    <font>
      <u/>
      <sz val="10.0"/>
      <color rgb="FF0563C1"/>
      <name val="Arial"/>
    </font>
    <font>
      <sz val="11.0"/>
      <color rgb="FF000000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CDDDEB"/>
        <bgColor rgb="FFCDDDEB"/>
      </patternFill>
    </fill>
    <fill>
      <patternFill patternType="solid">
        <fgColor rgb="FF17324D"/>
        <bgColor rgb="FF17324D"/>
      </patternFill>
    </fill>
    <fill>
      <patternFill patternType="solid">
        <fgColor rgb="FFBFE6F7"/>
        <bgColor rgb="FFBFE6F7"/>
      </patternFill>
    </fill>
    <fill>
      <patternFill patternType="solid">
        <fgColor rgb="FFFFFFFF"/>
        <bgColor rgb="FFFFFFFF"/>
      </patternFill>
    </fill>
    <fill>
      <patternFill patternType="solid">
        <fgColor rgb="FFFFF1D6"/>
        <bgColor rgb="FFFFF1D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1" numFmtId="0" xfId="0" applyFill="1" applyFont="1"/>
    <xf borderId="0" fillId="0" fontId="1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4" fontId="1" numFmtId="0" xfId="0" applyAlignment="1" applyFill="1" applyFont="1">
      <alignment shrinkToFit="0" vertical="center" wrapText="1"/>
    </xf>
    <xf borderId="0" fillId="4" fontId="1" numFmtId="0" xfId="0" applyAlignment="1" applyFill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5" fontId="1" numFmtId="0" xfId="0" applyAlignment="1" applyFill="1" applyFont="1">
      <alignment shrinkToFit="0" vertical="center" wrapText="1"/>
    </xf>
    <xf borderId="0" fillId="5" fontId="1" numFmtId="0" xfId="0" applyAlignment="1" applyFill="1" applyFont="1">
      <alignment horizontal="left" shrinkToFit="0" vertical="center" wrapText="1"/>
    </xf>
    <xf borderId="0" fillId="0" fontId="5" numFmtId="0" xfId="0" applyFont="1"/>
    <xf borderId="0" fillId="6" fontId="1" numFmtId="0" xfId="0" applyAlignment="1" applyFill="1" applyFont="1">
      <alignment shrinkToFit="0" vertical="center" wrapText="1"/>
    </xf>
    <xf borderId="0" fillId="6" fontId="1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mVWluGkzl0arDoi_fdU1NrUE-BVtrYp5byn15Ly8Z0/edit" TargetMode="External"/><Relationship Id="rId2" Type="http://schemas.openxmlformats.org/officeDocument/2006/relationships/hyperlink" Target="https://docs.google.com/document/d/1bX13b0Q7DhytWDtmWz-XfXDYjSfoGC48PxphYMoH60k/edit" TargetMode="External"/><Relationship Id="rId3" Type="http://schemas.openxmlformats.org/officeDocument/2006/relationships/hyperlink" Target="https://docs.google.com/document/d/1VJl7FNo1bRpDy_4u3VbF3OLxv1WXxMXHU1Bg2fhurd0/edit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93.0"/>
    <col customWidth="1" min="3" max="3" width="65.0"/>
    <col customWidth="1" min="4" max="23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.0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5.0" customHeight="1">
      <c r="A7" s="4" t="s">
        <v>5</v>
      </c>
      <c r="B7" s="4" t="s">
        <v>6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4" t="s">
        <v>7</v>
      </c>
      <c r="B8" s="4" t="s">
        <v>8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4" t="s">
        <v>9</v>
      </c>
      <c r="B9" s="4" t="s">
        <v>10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4" t="s">
        <v>12</v>
      </c>
      <c r="B10" s="4" t="s">
        <v>13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4" t="s">
        <v>19</v>
      </c>
      <c r="B11" s="4" t="s">
        <v>20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4" t="s">
        <v>27</v>
      </c>
      <c r="B12" s="4" t="s">
        <v>30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5.0" customHeight="1">
      <c r="A13" s="4"/>
      <c r="B13" s="4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5.0" customHeight="1">
      <c r="A14" s="4"/>
      <c r="B14" s="4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5.0" customHeight="1">
      <c r="A15" s="5" t="s">
        <v>32</v>
      </c>
      <c r="B15" s="5" t="s">
        <v>54</v>
      </c>
      <c r="C15" s="5" t="s">
        <v>56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5.0" customHeight="1">
      <c r="A16" s="4" t="s">
        <v>67</v>
      </c>
      <c r="B16" s="4" t="s">
        <v>68</v>
      </c>
      <c r="C16" s="4" t="s">
        <v>71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5.0" customHeight="1">
      <c r="A17" s="4" t="s">
        <v>79</v>
      </c>
      <c r="B17" s="4" t="s">
        <v>81</v>
      </c>
      <c r="C17" s="4" t="s">
        <v>84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5.0" customHeight="1">
      <c r="A18" s="4" t="s">
        <v>91</v>
      </c>
      <c r="B18" s="4" t="s">
        <v>92</v>
      </c>
      <c r="C18" s="4" t="s">
        <v>95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5.0" customHeight="1">
      <c r="A19" s="4" t="s">
        <v>101</v>
      </c>
      <c r="B19" s="4" t="s">
        <v>104</v>
      </c>
      <c r="C19" s="4" t="s">
        <v>105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5.0" customHeight="1">
      <c r="A20" s="4"/>
      <c r="B20" s="4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5.0" customHeight="1">
      <c r="A21" s="4"/>
      <c r="B21" s="4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5.0" customHeight="1">
      <c r="A22" s="4" t="s">
        <v>114</v>
      </c>
      <c r="B22" s="4" t="s">
        <v>115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5.0" customHeight="1">
      <c r="A23" s="4" t="s">
        <v>117</v>
      </c>
      <c r="B23" s="4" t="s">
        <v>119</v>
      </c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5.0" customHeight="1">
      <c r="A24" s="4" t="s">
        <v>126</v>
      </c>
      <c r="B24" s="4" t="s">
        <v>127</v>
      </c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5.0" customHeight="1">
      <c r="A25" s="4" t="s">
        <v>132</v>
      </c>
      <c r="B25" s="4" t="s">
        <v>135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38"/>
    <col customWidth="1" min="2" max="2" width="31.0"/>
    <col customWidth="1" min="3" max="4" width="17.0"/>
    <col customWidth="1" min="5" max="5" width="19.0"/>
    <col customWidth="1" min="6" max="6" width="20.0"/>
    <col customWidth="1" min="7" max="7" width="17.0"/>
    <col customWidth="1" min="8" max="18" width="42.0"/>
    <col customWidth="1" min="19" max="24" width="12.0"/>
    <col customWidth="1" min="25" max="25" width="66.0"/>
    <col customWidth="1" min="26" max="26" width="34.0"/>
    <col customWidth="1" min="27" max="28" width="8.63"/>
  </cols>
  <sheetData>
    <row r="1" ht="34.5" customHeight="1">
      <c r="A1" s="5" t="s">
        <v>15</v>
      </c>
      <c r="B1" s="5" t="s">
        <v>22</v>
      </c>
      <c r="C1" s="5" t="s">
        <v>25</v>
      </c>
      <c r="D1" s="5" t="s">
        <v>32</v>
      </c>
      <c r="E1" s="5" t="s">
        <v>35</v>
      </c>
      <c r="F1" s="5" t="s">
        <v>36</v>
      </c>
      <c r="G1" s="5" t="s">
        <v>38</v>
      </c>
      <c r="H1" s="5" t="s">
        <v>39</v>
      </c>
      <c r="I1" s="5" t="s">
        <v>44</v>
      </c>
      <c r="J1" s="5" t="s">
        <v>49</v>
      </c>
      <c r="K1" s="5" t="s">
        <v>51</v>
      </c>
      <c r="L1" s="5" t="s">
        <v>53</v>
      </c>
      <c r="M1" s="5" t="s">
        <v>58</v>
      </c>
      <c r="N1" s="5" t="s">
        <v>62</v>
      </c>
      <c r="O1" s="5" t="s">
        <v>65</v>
      </c>
      <c r="P1" s="5" t="s">
        <v>70</v>
      </c>
      <c r="Q1" s="5" t="s">
        <v>74</v>
      </c>
      <c r="R1" s="5" t="s">
        <v>77</v>
      </c>
      <c r="S1" s="5" t="s">
        <v>80</v>
      </c>
      <c r="T1" s="5" t="s">
        <v>85</v>
      </c>
      <c r="U1" s="5" t="s">
        <v>89</v>
      </c>
      <c r="V1" s="5" t="s">
        <v>90</v>
      </c>
      <c r="W1" s="5" t="s">
        <v>93</v>
      </c>
      <c r="X1" s="5" t="s">
        <v>98</v>
      </c>
      <c r="Y1" s="5" t="s">
        <v>103</v>
      </c>
      <c r="Z1" s="5" t="s">
        <v>106</v>
      </c>
      <c r="AA1" s="1"/>
      <c r="AB1" s="1"/>
    </row>
    <row r="2" ht="120.0" customHeight="1">
      <c r="A2" s="7">
        <v>1.0</v>
      </c>
      <c r="B2" s="6" t="s">
        <v>60</v>
      </c>
      <c r="C2" s="6" t="s">
        <v>124</v>
      </c>
      <c r="D2" s="8" t="str">
        <f t="shared" ref="D2:D31" si="1">IF(F2="Discovery required","D - Discovery",IF(E2&gt;=80,"1 - Build",IF(E2&gt;=60,"2 - Conditional","3 - Demand led")))</f>
        <v>1 - Build</v>
      </c>
      <c r="E2" s="6">
        <f>ROUND((S2*'Scoring &amp; Methodology'!$B$6+T2*'Scoring &amp; Methodology'!$B$7+U2*'Scoring &amp; Methodology'!$B$8+V2*'Scoring &amp; Methodology'!$B$9+W2*'Scoring &amp; Methodology'!$B$10+X2*'Scoring &amp; Methodology'!$B$11)/5,0)</f>
        <v>85</v>
      </c>
      <c r="F2" s="9" t="s">
        <v>232</v>
      </c>
      <c r="G2" s="9" t="s">
        <v>233</v>
      </c>
      <c r="H2" s="10" t="s">
        <v>238</v>
      </c>
      <c r="I2" s="10" t="s">
        <v>240</v>
      </c>
      <c r="J2" s="10" t="s">
        <v>242</v>
      </c>
      <c r="K2" s="10" t="s">
        <v>244</v>
      </c>
      <c r="L2" s="10" t="s">
        <v>246</v>
      </c>
      <c r="M2" s="10" t="s">
        <v>248</v>
      </c>
      <c r="N2" s="10" t="s">
        <v>250</v>
      </c>
      <c r="O2" s="10" t="s">
        <v>251</v>
      </c>
      <c r="P2" s="10" t="s">
        <v>252</v>
      </c>
      <c r="Q2" s="10" t="s">
        <v>253</v>
      </c>
      <c r="R2" s="10" t="s">
        <v>255</v>
      </c>
      <c r="S2" s="10">
        <v>4.0</v>
      </c>
      <c r="T2" s="10">
        <v>5.0</v>
      </c>
      <c r="U2" s="10">
        <v>5.0</v>
      </c>
      <c r="V2" s="10">
        <v>4.0</v>
      </c>
      <c r="W2" s="10">
        <v>3.0</v>
      </c>
      <c r="X2" s="10">
        <v>4.0</v>
      </c>
      <c r="Y2" s="10" t="s">
        <v>63</v>
      </c>
      <c r="Z2" s="11" t="s">
        <v>257</v>
      </c>
      <c r="AA2" s="1"/>
      <c r="AB2" s="1"/>
    </row>
    <row r="3" ht="120.0" customHeight="1">
      <c r="A3" s="7">
        <v>2.0</v>
      </c>
      <c r="B3" s="6" t="s">
        <v>76</v>
      </c>
      <c r="C3" s="6" t="s">
        <v>124</v>
      </c>
      <c r="D3" s="12" t="str">
        <f t="shared" si="1"/>
        <v>1 - Build</v>
      </c>
      <c r="E3" s="6">
        <f>ROUND((S3*'Scoring &amp; Methodology'!$B$6+T3*'Scoring &amp; Methodology'!$B$7+U3*'Scoring &amp; Methodology'!$B$8+V3*'Scoring &amp; Methodology'!$B$9+W3*'Scoring &amp; Methodology'!$B$10+X3*'Scoring &amp; Methodology'!$B$11)/5,0)</f>
        <v>84</v>
      </c>
      <c r="F3" s="13" t="s">
        <v>232</v>
      </c>
      <c r="G3" s="13" t="s">
        <v>248</v>
      </c>
      <c r="H3" s="10" t="s">
        <v>308</v>
      </c>
      <c r="I3" s="10" t="s">
        <v>309</v>
      </c>
      <c r="J3" s="10" t="s">
        <v>310</v>
      </c>
      <c r="K3" s="10" t="s">
        <v>311</v>
      </c>
      <c r="L3" s="10" t="s">
        <v>312</v>
      </c>
      <c r="M3" s="10" t="s">
        <v>233</v>
      </c>
      <c r="N3" s="10" t="s">
        <v>316</v>
      </c>
      <c r="O3" s="10" t="s">
        <v>319</v>
      </c>
      <c r="P3" s="10" t="s">
        <v>252</v>
      </c>
      <c r="Q3" s="10" t="s">
        <v>320</v>
      </c>
      <c r="R3" s="10" t="s">
        <v>321</v>
      </c>
      <c r="S3" s="10">
        <v>5.0</v>
      </c>
      <c r="T3" s="10">
        <v>4.0</v>
      </c>
      <c r="U3" s="10">
        <v>5.0</v>
      </c>
      <c r="V3" s="10">
        <v>3.0</v>
      </c>
      <c r="W3" s="10">
        <v>3.0</v>
      </c>
      <c r="X3" s="10">
        <v>4.0</v>
      </c>
      <c r="Y3" s="10" t="s">
        <v>78</v>
      </c>
      <c r="Z3" s="11" t="s">
        <v>257</v>
      </c>
      <c r="AA3" s="1"/>
      <c r="AB3" s="1"/>
    </row>
    <row r="4" ht="120.0" customHeight="1">
      <c r="A4" s="7">
        <v>3.0</v>
      </c>
      <c r="B4" s="6" t="s">
        <v>96</v>
      </c>
      <c r="C4" s="6" t="s">
        <v>124</v>
      </c>
      <c r="D4" s="8" t="str">
        <f t="shared" si="1"/>
        <v>1 - Build</v>
      </c>
      <c r="E4" s="6">
        <f>ROUND((S4*'Scoring &amp; Methodology'!$B$6+T4*'Scoring &amp; Methodology'!$B$7+U4*'Scoring &amp; Methodology'!$B$8+V4*'Scoring &amp; Methodology'!$B$9+W4*'Scoring &amp; Methodology'!$B$10+X4*'Scoring &amp; Methodology'!$B$11)/5,0)</f>
        <v>84</v>
      </c>
      <c r="F4" s="9" t="s">
        <v>232</v>
      </c>
      <c r="G4" s="9" t="s">
        <v>233</v>
      </c>
      <c r="H4" s="10" t="s">
        <v>324</v>
      </c>
      <c r="I4" s="10" t="s">
        <v>325</v>
      </c>
      <c r="J4" s="10" t="s">
        <v>326</v>
      </c>
      <c r="K4" s="10" t="s">
        <v>311</v>
      </c>
      <c r="L4" s="10" t="s">
        <v>327</v>
      </c>
      <c r="M4" s="10" t="s">
        <v>248</v>
      </c>
      <c r="N4" s="10" t="s">
        <v>328</v>
      </c>
      <c r="O4" s="10" t="s">
        <v>329</v>
      </c>
      <c r="P4" s="10" t="s">
        <v>252</v>
      </c>
      <c r="Q4" s="10" t="s">
        <v>330</v>
      </c>
      <c r="R4" s="10" t="s">
        <v>331</v>
      </c>
      <c r="S4" s="10">
        <v>5.0</v>
      </c>
      <c r="T4" s="10">
        <v>4.0</v>
      </c>
      <c r="U4" s="10">
        <v>5.0</v>
      </c>
      <c r="V4" s="10">
        <v>3.0</v>
      </c>
      <c r="W4" s="10">
        <v>3.0</v>
      </c>
      <c r="X4" s="10">
        <v>4.0</v>
      </c>
      <c r="Y4" s="10" t="s">
        <v>99</v>
      </c>
      <c r="Z4" s="14"/>
      <c r="AA4" s="1"/>
      <c r="AB4" s="1"/>
    </row>
    <row r="5" ht="120.0" customHeight="1">
      <c r="A5" s="7">
        <v>4.0</v>
      </c>
      <c r="B5" s="6" t="s">
        <v>110</v>
      </c>
      <c r="C5" s="6" t="s">
        <v>124</v>
      </c>
      <c r="D5" s="12" t="str">
        <f t="shared" si="1"/>
        <v>1 - Build</v>
      </c>
      <c r="E5" s="6">
        <f>ROUND((S5*'Scoring &amp; Methodology'!$B$6+T5*'Scoring &amp; Methodology'!$B$7+U5*'Scoring &amp; Methodology'!$B$8+V5*'Scoring &amp; Methodology'!$B$9+W5*'Scoring &amp; Methodology'!$B$10+X5*'Scoring &amp; Methodology'!$B$11)/5,0)</f>
        <v>82</v>
      </c>
      <c r="F5" s="13" t="s">
        <v>232</v>
      </c>
      <c r="G5" s="13" t="s">
        <v>233</v>
      </c>
      <c r="H5" s="10" t="s">
        <v>332</v>
      </c>
      <c r="I5" s="10" t="s">
        <v>333</v>
      </c>
      <c r="J5" s="10" t="s">
        <v>334</v>
      </c>
      <c r="K5" s="10" t="s">
        <v>335</v>
      </c>
      <c r="L5" s="10" t="s">
        <v>336</v>
      </c>
      <c r="M5" s="10" t="s">
        <v>248</v>
      </c>
      <c r="N5" s="10" t="s">
        <v>337</v>
      </c>
      <c r="O5" s="10" t="s">
        <v>338</v>
      </c>
      <c r="P5" s="10" t="s">
        <v>252</v>
      </c>
      <c r="Q5" s="10" t="s">
        <v>339</v>
      </c>
      <c r="R5" s="10" t="s">
        <v>340</v>
      </c>
      <c r="S5" s="10">
        <v>4.0</v>
      </c>
      <c r="T5" s="10">
        <v>4.0</v>
      </c>
      <c r="U5" s="10">
        <v>5.0</v>
      </c>
      <c r="V5" s="10">
        <v>4.0</v>
      </c>
      <c r="W5" s="10">
        <v>3.0</v>
      </c>
      <c r="X5" s="10">
        <v>4.0</v>
      </c>
      <c r="Y5" s="10" t="s">
        <v>111</v>
      </c>
      <c r="Z5" s="14"/>
      <c r="AA5" s="1"/>
      <c r="AB5" s="1"/>
    </row>
    <row r="6" ht="120.0" customHeight="1">
      <c r="A6" s="7">
        <v>5.0</v>
      </c>
      <c r="B6" s="6" t="s">
        <v>118</v>
      </c>
      <c r="C6" s="6" t="s">
        <v>341</v>
      </c>
      <c r="D6" s="8" t="str">
        <f t="shared" si="1"/>
        <v>2 - Conditional</v>
      </c>
      <c r="E6" s="6">
        <f>ROUND((S6*'Scoring &amp; Methodology'!$B$6+T6*'Scoring &amp; Methodology'!$B$7+U6*'Scoring &amp; Methodology'!$B$8+V6*'Scoring &amp; Methodology'!$B$9+W6*'Scoring &amp; Methodology'!$B$10+X6*'Scoring &amp; Methodology'!$B$11)/5,0)</f>
        <v>75</v>
      </c>
      <c r="F6" s="9" t="s">
        <v>232</v>
      </c>
      <c r="G6" s="9" t="s">
        <v>248</v>
      </c>
      <c r="H6" s="10" t="s">
        <v>342</v>
      </c>
      <c r="I6" s="10" t="s">
        <v>343</v>
      </c>
      <c r="J6" s="10" t="s">
        <v>344</v>
      </c>
      <c r="K6" s="10" t="s">
        <v>345</v>
      </c>
      <c r="L6" s="10" t="s">
        <v>346</v>
      </c>
      <c r="M6" s="10" t="s">
        <v>248</v>
      </c>
      <c r="N6" s="10" t="s">
        <v>347</v>
      </c>
      <c r="O6" s="10" t="s">
        <v>348</v>
      </c>
      <c r="P6" s="10" t="s">
        <v>349</v>
      </c>
      <c r="Q6" s="10" t="s">
        <v>350</v>
      </c>
      <c r="R6" s="10" t="s">
        <v>351</v>
      </c>
      <c r="S6" s="10">
        <v>4.0</v>
      </c>
      <c r="T6" s="10">
        <v>5.0</v>
      </c>
      <c r="U6" s="10">
        <v>4.0</v>
      </c>
      <c r="V6" s="10">
        <v>3.0</v>
      </c>
      <c r="W6" s="10">
        <v>3.0</v>
      </c>
      <c r="X6" s="10">
        <v>3.0</v>
      </c>
      <c r="Y6" s="10" t="s">
        <v>120</v>
      </c>
      <c r="Z6" s="11" t="s">
        <v>257</v>
      </c>
      <c r="AA6" s="1"/>
      <c r="AB6" s="1"/>
    </row>
    <row r="7" ht="120.0" customHeight="1">
      <c r="A7" s="7">
        <v>6.0</v>
      </c>
      <c r="B7" s="6" t="s">
        <v>129</v>
      </c>
      <c r="C7" s="6" t="s">
        <v>124</v>
      </c>
      <c r="D7" s="12" t="str">
        <f t="shared" si="1"/>
        <v>2 - Conditional</v>
      </c>
      <c r="E7" s="6">
        <f>ROUND((S7*'Scoring &amp; Methodology'!$B$6+T7*'Scoring &amp; Methodology'!$B$7+U7*'Scoring &amp; Methodology'!$B$8+V7*'Scoring &amp; Methodology'!$B$9+W7*'Scoring &amp; Methodology'!$B$10+X7*'Scoring &amp; Methodology'!$B$11)/5,0)</f>
        <v>72</v>
      </c>
      <c r="F7" s="13" t="s">
        <v>232</v>
      </c>
      <c r="G7" s="13" t="s">
        <v>233</v>
      </c>
      <c r="H7" s="10" t="s">
        <v>352</v>
      </c>
      <c r="I7" s="10" t="s">
        <v>353</v>
      </c>
      <c r="J7" s="10" t="s">
        <v>354</v>
      </c>
      <c r="K7" s="10" t="s">
        <v>355</v>
      </c>
      <c r="L7" s="10" t="s">
        <v>356</v>
      </c>
      <c r="M7" s="10" t="s">
        <v>233</v>
      </c>
      <c r="N7" s="10" t="s">
        <v>357</v>
      </c>
      <c r="O7" s="10" t="s">
        <v>358</v>
      </c>
      <c r="P7" s="10" t="s">
        <v>252</v>
      </c>
      <c r="Q7" s="10" t="s">
        <v>359</v>
      </c>
      <c r="R7" s="10" t="s">
        <v>360</v>
      </c>
      <c r="S7" s="10">
        <v>4.0</v>
      </c>
      <c r="T7" s="10">
        <v>4.0</v>
      </c>
      <c r="U7" s="10">
        <v>4.0</v>
      </c>
      <c r="V7" s="10">
        <v>2.0</v>
      </c>
      <c r="W7" s="10">
        <v>3.0</v>
      </c>
      <c r="X7" s="10">
        <v>4.0</v>
      </c>
      <c r="Y7" s="10" t="s">
        <v>361</v>
      </c>
      <c r="Z7" s="14"/>
      <c r="AA7" s="1"/>
      <c r="AB7" s="1"/>
    </row>
    <row r="8" ht="120.0" customHeight="1">
      <c r="A8" s="7">
        <v>7.0</v>
      </c>
      <c r="B8" s="6" t="s">
        <v>142</v>
      </c>
      <c r="C8" s="6" t="s">
        <v>124</v>
      </c>
      <c r="D8" s="8" t="str">
        <f t="shared" si="1"/>
        <v>2 - Conditional</v>
      </c>
      <c r="E8" s="6">
        <f>ROUND((S8*'Scoring &amp; Methodology'!$B$6+T8*'Scoring &amp; Methodology'!$B$7+U8*'Scoring &amp; Methodology'!$B$8+V8*'Scoring &amp; Methodology'!$B$9+W8*'Scoring &amp; Methodology'!$B$10+X8*'Scoring &amp; Methodology'!$B$11)/5,0)</f>
        <v>70</v>
      </c>
      <c r="F8" s="9" t="s">
        <v>232</v>
      </c>
      <c r="G8" s="9" t="s">
        <v>233</v>
      </c>
      <c r="H8" s="10" t="s">
        <v>362</v>
      </c>
      <c r="I8" s="10" t="s">
        <v>363</v>
      </c>
      <c r="J8" s="10" t="s">
        <v>364</v>
      </c>
      <c r="K8" s="10" t="s">
        <v>365</v>
      </c>
      <c r="L8" s="10" t="s">
        <v>366</v>
      </c>
      <c r="M8" s="10" t="s">
        <v>248</v>
      </c>
      <c r="N8" s="10" t="s">
        <v>367</v>
      </c>
      <c r="O8" s="10" t="s">
        <v>368</v>
      </c>
      <c r="P8" s="10" t="s">
        <v>252</v>
      </c>
      <c r="Q8" s="10" t="s">
        <v>369</v>
      </c>
      <c r="R8" s="10" t="s">
        <v>370</v>
      </c>
      <c r="S8" s="10">
        <v>3.0</v>
      </c>
      <c r="T8" s="10">
        <v>3.0</v>
      </c>
      <c r="U8" s="10">
        <v>4.0</v>
      </c>
      <c r="V8" s="10">
        <v>4.0</v>
      </c>
      <c r="W8" s="10">
        <v>3.0</v>
      </c>
      <c r="X8" s="10">
        <v>4.0</v>
      </c>
      <c r="Y8" s="10" t="s">
        <v>143</v>
      </c>
      <c r="Z8" s="14"/>
      <c r="AA8" s="1"/>
      <c r="AB8" s="1"/>
    </row>
    <row r="9" ht="120.0" customHeight="1">
      <c r="A9" s="7">
        <v>8.0</v>
      </c>
      <c r="B9" s="6" t="s">
        <v>149</v>
      </c>
      <c r="C9" s="6" t="s">
        <v>341</v>
      </c>
      <c r="D9" s="12" t="str">
        <f t="shared" si="1"/>
        <v>2 - Conditional</v>
      </c>
      <c r="E9" s="6">
        <f>ROUND((S9*'Scoring &amp; Methodology'!$B$6+T9*'Scoring &amp; Methodology'!$B$7+U9*'Scoring &amp; Methodology'!$B$8+V9*'Scoring &amp; Methodology'!$B$9+W9*'Scoring &amp; Methodology'!$B$10+X9*'Scoring &amp; Methodology'!$B$11)/5,0)</f>
        <v>63</v>
      </c>
      <c r="F9" s="13" t="s">
        <v>232</v>
      </c>
      <c r="G9" s="13" t="s">
        <v>233</v>
      </c>
      <c r="H9" s="10" t="s">
        <v>371</v>
      </c>
      <c r="I9" s="10" t="s">
        <v>372</v>
      </c>
      <c r="J9" s="10" t="s">
        <v>373</v>
      </c>
      <c r="K9" s="10" t="s">
        <v>374</v>
      </c>
      <c r="L9" s="10" t="s">
        <v>375</v>
      </c>
      <c r="M9" s="10" t="s">
        <v>248</v>
      </c>
      <c r="N9" s="10" t="s">
        <v>376</v>
      </c>
      <c r="O9" s="10" t="s">
        <v>377</v>
      </c>
      <c r="P9" s="10" t="s">
        <v>378</v>
      </c>
      <c r="Q9" s="10" t="s">
        <v>379</v>
      </c>
      <c r="R9" s="10" t="s">
        <v>380</v>
      </c>
      <c r="S9" s="10">
        <v>3.0</v>
      </c>
      <c r="T9" s="10">
        <v>3.0</v>
      </c>
      <c r="U9" s="10">
        <v>3.0</v>
      </c>
      <c r="V9" s="10">
        <v>3.0</v>
      </c>
      <c r="W9" s="10">
        <v>3.0</v>
      </c>
      <c r="X9" s="10">
        <v>4.0</v>
      </c>
      <c r="Y9" s="10" t="s">
        <v>150</v>
      </c>
      <c r="Z9" s="14"/>
      <c r="AA9" s="1"/>
      <c r="AB9" s="1"/>
    </row>
    <row r="10" ht="120.0" customHeight="1">
      <c r="A10" s="7">
        <v>9.0</v>
      </c>
      <c r="B10" s="6" t="s">
        <v>219</v>
      </c>
      <c r="C10" s="6" t="s">
        <v>341</v>
      </c>
      <c r="D10" s="8" t="str">
        <f t="shared" si="1"/>
        <v>3 - Demand led</v>
      </c>
      <c r="E10" s="6">
        <f>ROUND((S10*'Scoring &amp; Methodology'!$B$6+T10*'Scoring &amp; Methodology'!$B$7+U10*'Scoring &amp; Methodology'!$B$8+V10*'Scoring &amp; Methodology'!$B$9+W10*'Scoring &amp; Methodology'!$B$10+X10*'Scoring &amp; Methodology'!$B$11)/5,0)</f>
        <v>45</v>
      </c>
      <c r="F10" s="9" t="s">
        <v>232</v>
      </c>
      <c r="G10" s="9" t="s">
        <v>248</v>
      </c>
      <c r="H10" s="10" t="s">
        <v>381</v>
      </c>
      <c r="I10" s="10" t="s">
        <v>382</v>
      </c>
      <c r="J10" s="10" t="s">
        <v>383</v>
      </c>
      <c r="K10" s="10" t="s">
        <v>384</v>
      </c>
      <c r="L10" s="10" t="s">
        <v>385</v>
      </c>
      <c r="M10" s="10" t="s">
        <v>248</v>
      </c>
      <c r="N10" s="10" t="s">
        <v>386</v>
      </c>
      <c r="O10" s="10" t="s">
        <v>387</v>
      </c>
      <c r="P10" s="10" t="s">
        <v>388</v>
      </c>
      <c r="Q10" s="10" t="s">
        <v>389</v>
      </c>
      <c r="R10" s="10" t="s">
        <v>390</v>
      </c>
      <c r="S10" s="10">
        <v>2.0</v>
      </c>
      <c r="T10" s="10">
        <v>1.0</v>
      </c>
      <c r="U10" s="10">
        <v>2.0</v>
      </c>
      <c r="V10" s="10">
        <v>3.0</v>
      </c>
      <c r="W10" s="10">
        <v>3.0</v>
      </c>
      <c r="X10" s="10">
        <v>3.0</v>
      </c>
      <c r="Y10" s="10" t="s">
        <v>220</v>
      </c>
      <c r="Z10" s="14"/>
      <c r="AA10" s="1"/>
      <c r="AB10" s="1"/>
    </row>
    <row r="11" ht="120.0" customHeight="1">
      <c r="A11" s="7">
        <v>10.0</v>
      </c>
      <c r="B11" s="6" t="s">
        <v>162</v>
      </c>
      <c r="C11" s="6" t="s">
        <v>341</v>
      </c>
      <c r="D11" s="15" t="str">
        <f t="shared" si="1"/>
        <v>D - Discovery</v>
      </c>
      <c r="E11" s="6">
        <f>ROUND((S11*'Scoring &amp; Methodology'!$B$6+T11*'Scoring &amp; Methodology'!$B$7+U11*'Scoring &amp; Methodology'!$B$8+V11*'Scoring &amp; Methodology'!$B$9+W11*'Scoring &amp; Methodology'!$B$10+X11*'Scoring &amp; Methodology'!$B$11)/5,0)</f>
        <v>68</v>
      </c>
      <c r="F11" s="16" t="s">
        <v>391</v>
      </c>
      <c r="G11" s="13" t="s">
        <v>392</v>
      </c>
      <c r="H11" s="10" t="s">
        <v>393</v>
      </c>
      <c r="I11" s="10" t="s">
        <v>394</v>
      </c>
      <c r="J11" s="10" t="s">
        <v>395</v>
      </c>
      <c r="K11" s="10" t="s">
        <v>396</v>
      </c>
      <c r="L11" s="10" t="s">
        <v>397</v>
      </c>
      <c r="M11" s="10" t="s">
        <v>233</v>
      </c>
      <c r="N11" s="10" t="s">
        <v>398</v>
      </c>
      <c r="O11" s="10" t="s">
        <v>399</v>
      </c>
      <c r="P11" s="10" t="s">
        <v>388</v>
      </c>
      <c r="Q11" s="10" t="s">
        <v>400</v>
      </c>
      <c r="R11" s="10" t="s">
        <v>401</v>
      </c>
      <c r="S11" s="10">
        <v>5.0</v>
      </c>
      <c r="T11" s="10">
        <v>5.0</v>
      </c>
      <c r="U11" s="10">
        <v>5.0</v>
      </c>
      <c r="V11" s="10">
        <v>1.0</v>
      </c>
      <c r="W11" s="10">
        <v>1.0</v>
      </c>
      <c r="X11" s="10">
        <v>1.0</v>
      </c>
      <c r="Y11" s="10" t="s">
        <v>163</v>
      </c>
      <c r="Z11" s="14"/>
      <c r="AA11" s="1"/>
      <c r="AB11" s="1"/>
    </row>
    <row r="12" ht="120.0" customHeight="1">
      <c r="A12" s="7">
        <v>11.0</v>
      </c>
      <c r="B12" s="6" t="s">
        <v>169</v>
      </c>
      <c r="C12" s="6" t="s">
        <v>341</v>
      </c>
      <c r="D12" s="15" t="str">
        <f t="shared" si="1"/>
        <v>D - Discovery</v>
      </c>
      <c r="E12" s="6">
        <f>ROUND((S12*'Scoring &amp; Methodology'!$B$6+T12*'Scoring &amp; Methodology'!$B$7+U12*'Scoring &amp; Methodology'!$B$8+V12*'Scoring &amp; Methodology'!$B$9+W12*'Scoring &amp; Methodology'!$B$10+X12*'Scoring &amp; Methodology'!$B$11)/5,0)</f>
        <v>65</v>
      </c>
      <c r="F12" s="16" t="s">
        <v>391</v>
      </c>
      <c r="G12" s="9" t="s">
        <v>392</v>
      </c>
      <c r="H12" s="10" t="s">
        <v>402</v>
      </c>
      <c r="I12" s="10" t="s">
        <v>403</v>
      </c>
      <c r="J12" s="10" t="s">
        <v>404</v>
      </c>
      <c r="K12" s="10" t="s">
        <v>405</v>
      </c>
      <c r="L12" s="10" t="s">
        <v>406</v>
      </c>
      <c r="M12" s="10" t="s">
        <v>233</v>
      </c>
      <c r="N12" s="10" t="s">
        <v>407</v>
      </c>
      <c r="O12" s="10" t="s">
        <v>408</v>
      </c>
      <c r="P12" s="10" t="s">
        <v>388</v>
      </c>
      <c r="Q12" s="10" t="s">
        <v>409</v>
      </c>
      <c r="R12" s="10" t="s">
        <v>410</v>
      </c>
      <c r="S12" s="10">
        <v>5.0</v>
      </c>
      <c r="T12" s="10">
        <v>4.0</v>
      </c>
      <c r="U12" s="10">
        <v>5.0</v>
      </c>
      <c r="V12" s="10">
        <v>1.0</v>
      </c>
      <c r="W12" s="10">
        <v>1.0</v>
      </c>
      <c r="X12" s="10">
        <v>1.0</v>
      </c>
      <c r="Y12" s="10" t="s">
        <v>170</v>
      </c>
      <c r="Z12" s="14"/>
      <c r="AA12" s="1"/>
      <c r="AB12" s="1"/>
    </row>
    <row r="13" ht="120.0" customHeight="1">
      <c r="A13" s="7">
        <v>12.0</v>
      </c>
      <c r="B13" s="6" t="s">
        <v>174</v>
      </c>
      <c r="C13" s="6" t="s">
        <v>341</v>
      </c>
      <c r="D13" s="15" t="str">
        <f t="shared" si="1"/>
        <v>D - Discovery</v>
      </c>
      <c r="E13" s="6">
        <f>ROUND((S13*'Scoring &amp; Methodology'!$B$6+T13*'Scoring &amp; Methodology'!$B$7+U13*'Scoring &amp; Methodology'!$B$8+V13*'Scoring &amp; Methodology'!$B$9+W13*'Scoring &amp; Methodology'!$B$10+X13*'Scoring &amp; Methodology'!$B$11)/5,0)</f>
        <v>64</v>
      </c>
      <c r="F13" s="16" t="s">
        <v>391</v>
      </c>
      <c r="G13" s="13" t="s">
        <v>248</v>
      </c>
      <c r="H13" s="10" t="s">
        <v>411</v>
      </c>
      <c r="I13" s="10" t="s">
        <v>412</v>
      </c>
      <c r="J13" s="10" t="s">
        <v>413</v>
      </c>
      <c r="K13" s="10" t="s">
        <v>414</v>
      </c>
      <c r="L13" s="10" t="s">
        <v>415</v>
      </c>
      <c r="M13" s="10" t="s">
        <v>248</v>
      </c>
      <c r="N13" s="10" t="s">
        <v>416</v>
      </c>
      <c r="O13" s="10" t="s">
        <v>417</v>
      </c>
      <c r="P13" s="10" t="s">
        <v>388</v>
      </c>
      <c r="Q13" s="10" t="s">
        <v>418</v>
      </c>
      <c r="R13" s="10" t="s">
        <v>419</v>
      </c>
      <c r="S13" s="10">
        <v>4.0</v>
      </c>
      <c r="T13" s="10">
        <v>2.0</v>
      </c>
      <c r="U13" s="10">
        <v>4.0</v>
      </c>
      <c r="V13" s="10">
        <v>3.0</v>
      </c>
      <c r="W13" s="10">
        <v>2.0</v>
      </c>
      <c r="X13" s="10">
        <v>3.0</v>
      </c>
      <c r="Y13" s="10" t="s">
        <v>175</v>
      </c>
      <c r="Z13" s="14"/>
      <c r="AA13" s="1"/>
      <c r="AB13" s="1"/>
    </row>
    <row r="14" ht="120.0" customHeight="1">
      <c r="A14" s="7">
        <v>13.0</v>
      </c>
      <c r="B14" s="6" t="s">
        <v>181</v>
      </c>
      <c r="C14" s="6" t="s">
        <v>341</v>
      </c>
      <c r="D14" s="15" t="str">
        <f t="shared" si="1"/>
        <v>D - Discovery</v>
      </c>
      <c r="E14" s="6">
        <f>ROUND((S14*'Scoring &amp; Methodology'!$B$6+T14*'Scoring &amp; Methodology'!$B$7+U14*'Scoring &amp; Methodology'!$B$8+V14*'Scoring &amp; Methodology'!$B$9+W14*'Scoring &amp; Methodology'!$B$10+X14*'Scoring &amp; Methodology'!$B$11)/5,0)</f>
        <v>56</v>
      </c>
      <c r="F14" s="16" t="s">
        <v>391</v>
      </c>
      <c r="G14" s="9" t="s">
        <v>392</v>
      </c>
      <c r="H14" s="10" t="s">
        <v>420</v>
      </c>
      <c r="I14" s="10" t="s">
        <v>421</v>
      </c>
      <c r="J14" s="10" t="s">
        <v>422</v>
      </c>
      <c r="K14" s="10" t="s">
        <v>423</v>
      </c>
      <c r="L14" s="10" t="s">
        <v>424</v>
      </c>
      <c r="M14" s="10" t="s">
        <v>233</v>
      </c>
      <c r="N14" s="10" t="s">
        <v>425</v>
      </c>
      <c r="O14" s="10" t="s">
        <v>426</v>
      </c>
      <c r="P14" s="10" t="s">
        <v>388</v>
      </c>
      <c r="Q14" s="10" t="s">
        <v>427</v>
      </c>
      <c r="R14" s="10" t="s">
        <v>428</v>
      </c>
      <c r="S14" s="10">
        <v>4.0</v>
      </c>
      <c r="T14" s="10">
        <v>4.0</v>
      </c>
      <c r="U14" s="10">
        <v>4.0</v>
      </c>
      <c r="V14" s="10">
        <v>1.0</v>
      </c>
      <c r="W14" s="10">
        <v>1.0</v>
      </c>
      <c r="X14" s="10">
        <v>1.0</v>
      </c>
      <c r="Y14" s="10" t="s">
        <v>182</v>
      </c>
      <c r="Z14" s="14"/>
      <c r="AA14" s="1"/>
      <c r="AB14" s="1"/>
    </row>
    <row r="15" ht="120.0" customHeight="1">
      <c r="A15" s="7">
        <v>14.0</v>
      </c>
      <c r="B15" s="6" t="s">
        <v>188</v>
      </c>
      <c r="C15" s="6" t="s">
        <v>341</v>
      </c>
      <c r="D15" s="15" t="str">
        <f t="shared" si="1"/>
        <v>D - Discovery</v>
      </c>
      <c r="E15" s="6">
        <f>ROUND((S15*'Scoring &amp; Methodology'!$B$6+T15*'Scoring &amp; Methodology'!$B$7+U15*'Scoring &amp; Methodology'!$B$8+V15*'Scoring &amp; Methodology'!$B$9+W15*'Scoring &amp; Methodology'!$B$10+X15*'Scoring &amp; Methodology'!$B$11)/5,0)</f>
        <v>56</v>
      </c>
      <c r="F15" s="16" t="s">
        <v>391</v>
      </c>
      <c r="G15" s="13" t="s">
        <v>392</v>
      </c>
      <c r="H15" s="10" t="s">
        <v>429</v>
      </c>
      <c r="I15" s="10" t="s">
        <v>430</v>
      </c>
      <c r="J15" s="10" t="s">
        <v>431</v>
      </c>
      <c r="K15" s="10" t="s">
        <v>432</v>
      </c>
      <c r="L15" s="10" t="s">
        <v>433</v>
      </c>
      <c r="M15" s="10" t="s">
        <v>233</v>
      </c>
      <c r="N15" s="10" t="s">
        <v>434</v>
      </c>
      <c r="O15" s="10" t="s">
        <v>435</v>
      </c>
      <c r="P15" s="10" t="s">
        <v>388</v>
      </c>
      <c r="Q15" s="10" t="s">
        <v>436</v>
      </c>
      <c r="R15" s="10" t="s">
        <v>437</v>
      </c>
      <c r="S15" s="10">
        <v>4.0</v>
      </c>
      <c r="T15" s="10">
        <v>4.0</v>
      </c>
      <c r="U15" s="10">
        <v>4.0</v>
      </c>
      <c r="V15" s="10">
        <v>1.0</v>
      </c>
      <c r="W15" s="10">
        <v>1.0</v>
      </c>
      <c r="X15" s="10">
        <v>1.0</v>
      </c>
      <c r="Y15" s="10" t="s">
        <v>189</v>
      </c>
      <c r="Z15" s="14"/>
      <c r="AA15" s="1"/>
      <c r="AB15" s="1"/>
    </row>
    <row r="16" ht="120.0" customHeight="1">
      <c r="A16" s="7">
        <v>15.0</v>
      </c>
      <c r="B16" s="6" t="s">
        <v>193</v>
      </c>
      <c r="C16" s="6" t="s">
        <v>341</v>
      </c>
      <c r="D16" s="15" t="str">
        <f t="shared" si="1"/>
        <v>D - Discovery</v>
      </c>
      <c r="E16" s="6">
        <f>ROUND((S16*'Scoring &amp; Methodology'!$B$6+T16*'Scoring &amp; Methodology'!$B$7+U16*'Scoring &amp; Methodology'!$B$8+V16*'Scoring &amp; Methodology'!$B$9+W16*'Scoring &amp; Methodology'!$B$10+X16*'Scoring &amp; Methodology'!$B$11)/5,0)</f>
        <v>53</v>
      </c>
      <c r="F16" s="16" t="s">
        <v>391</v>
      </c>
      <c r="G16" s="9" t="s">
        <v>392</v>
      </c>
      <c r="H16" s="10" t="s">
        <v>438</v>
      </c>
      <c r="I16" s="10" t="s">
        <v>439</v>
      </c>
      <c r="J16" s="10" t="s">
        <v>440</v>
      </c>
      <c r="K16" s="10" t="s">
        <v>441</v>
      </c>
      <c r="L16" s="10" t="s">
        <v>442</v>
      </c>
      <c r="M16" s="10" t="s">
        <v>233</v>
      </c>
      <c r="N16" s="10" t="s">
        <v>443</v>
      </c>
      <c r="O16" s="10" t="s">
        <v>444</v>
      </c>
      <c r="P16" s="10" t="s">
        <v>388</v>
      </c>
      <c r="Q16" s="10" t="s">
        <v>445</v>
      </c>
      <c r="R16" s="10" t="s">
        <v>446</v>
      </c>
      <c r="S16" s="10">
        <v>4.0</v>
      </c>
      <c r="T16" s="10">
        <v>3.0</v>
      </c>
      <c r="U16" s="10">
        <v>4.0</v>
      </c>
      <c r="V16" s="10">
        <v>1.0</v>
      </c>
      <c r="W16" s="10">
        <v>1.0</v>
      </c>
      <c r="X16" s="10">
        <v>1.0</v>
      </c>
      <c r="Y16" s="10" t="s">
        <v>194</v>
      </c>
      <c r="Z16" s="14"/>
      <c r="AA16" s="1"/>
      <c r="AB16" s="1"/>
    </row>
    <row r="17" ht="120.0" customHeight="1">
      <c r="A17" s="7">
        <v>16.0</v>
      </c>
      <c r="B17" s="6" t="s">
        <v>199</v>
      </c>
      <c r="C17" s="6" t="s">
        <v>341</v>
      </c>
      <c r="D17" s="15" t="str">
        <f t="shared" si="1"/>
        <v>D - Discovery</v>
      </c>
      <c r="E17" s="6">
        <f>ROUND((S17*'Scoring &amp; Methodology'!$B$6+T17*'Scoring &amp; Methodology'!$B$7+U17*'Scoring &amp; Methodology'!$B$8+V17*'Scoring &amp; Methodology'!$B$9+W17*'Scoring &amp; Methodology'!$B$10+X17*'Scoring &amp; Methodology'!$B$11)/5,0)</f>
        <v>53</v>
      </c>
      <c r="F17" s="16" t="s">
        <v>391</v>
      </c>
      <c r="G17" s="13" t="s">
        <v>392</v>
      </c>
      <c r="H17" s="10" t="s">
        <v>447</v>
      </c>
      <c r="I17" s="10" t="s">
        <v>448</v>
      </c>
      <c r="J17" s="10" t="s">
        <v>449</v>
      </c>
      <c r="K17" s="10" t="s">
        <v>450</v>
      </c>
      <c r="L17" s="10" t="s">
        <v>451</v>
      </c>
      <c r="M17" s="10" t="s">
        <v>233</v>
      </c>
      <c r="N17" s="10" t="s">
        <v>452</v>
      </c>
      <c r="O17" s="10" t="s">
        <v>453</v>
      </c>
      <c r="P17" s="10" t="s">
        <v>388</v>
      </c>
      <c r="Q17" s="10" t="s">
        <v>454</v>
      </c>
      <c r="R17" s="10" t="s">
        <v>455</v>
      </c>
      <c r="S17" s="10">
        <v>4.0</v>
      </c>
      <c r="T17" s="10">
        <v>3.0</v>
      </c>
      <c r="U17" s="10">
        <v>4.0</v>
      </c>
      <c r="V17" s="10">
        <v>1.0</v>
      </c>
      <c r="W17" s="10">
        <v>1.0</v>
      </c>
      <c r="X17" s="10">
        <v>1.0</v>
      </c>
      <c r="Y17" s="10" t="s">
        <v>194</v>
      </c>
      <c r="Z17" s="14"/>
      <c r="AA17" s="1"/>
      <c r="AB17" s="1"/>
    </row>
    <row r="18" ht="120.0" customHeight="1">
      <c r="A18" s="7">
        <v>17.0</v>
      </c>
      <c r="B18" s="6" t="s">
        <v>205</v>
      </c>
      <c r="C18" s="6" t="s">
        <v>341</v>
      </c>
      <c r="D18" s="15" t="str">
        <f t="shared" si="1"/>
        <v>D - Discovery</v>
      </c>
      <c r="E18" s="6">
        <f>ROUND((S18*'Scoring &amp; Methodology'!$B$6+T18*'Scoring &amp; Methodology'!$B$7+U18*'Scoring &amp; Methodology'!$B$8+V18*'Scoring &amp; Methodology'!$B$9+W18*'Scoring &amp; Methodology'!$B$10+X18*'Scoring &amp; Methodology'!$B$11)/5,0)</f>
        <v>49</v>
      </c>
      <c r="F18" s="16" t="s">
        <v>391</v>
      </c>
      <c r="G18" s="9" t="s">
        <v>248</v>
      </c>
      <c r="H18" s="10" t="s">
        <v>456</v>
      </c>
      <c r="I18" s="10" t="s">
        <v>457</v>
      </c>
      <c r="J18" s="10" t="s">
        <v>458</v>
      </c>
      <c r="K18" s="10" t="s">
        <v>459</v>
      </c>
      <c r="L18" s="10" t="s">
        <v>460</v>
      </c>
      <c r="M18" s="10" t="s">
        <v>233</v>
      </c>
      <c r="N18" s="10" t="s">
        <v>461</v>
      </c>
      <c r="O18" s="10" t="s">
        <v>462</v>
      </c>
      <c r="P18" s="10" t="s">
        <v>463</v>
      </c>
      <c r="Q18" s="10" t="s">
        <v>464</v>
      </c>
      <c r="R18" s="10" t="s">
        <v>465</v>
      </c>
      <c r="S18" s="10">
        <v>3.0</v>
      </c>
      <c r="T18" s="10">
        <v>2.0</v>
      </c>
      <c r="U18" s="10">
        <v>3.0</v>
      </c>
      <c r="V18" s="10">
        <v>2.0</v>
      </c>
      <c r="W18" s="10">
        <v>2.0</v>
      </c>
      <c r="X18" s="10">
        <v>2.0</v>
      </c>
      <c r="Y18" s="10" t="s">
        <v>206</v>
      </c>
      <c r="Z18" s="14"/>
      <c r="AA18" s="1"/>
      <c r="AB18" s="1"/>
    </row>
    <row r="19" ht="120.0" customHeight="1">
      <c r="A19" s="7">
        <v>18.0</v>
      </c>
      <c r="B19" s="6" t="s">
        <v>213</v>
      </c>
      <c r="C19" s="6" t="s">
        <v>341</v>
      </c>
      <c r="D19" s="15" t="str">
        <f t="shared" si="1"/>
        <v>D - Discovery</v>
      </c>
      <c r="E19" s="6">
        <f>ROUND((S19*'Scoring &amp; Methodology'!$B$6+T19*'Scoring &amp; Methodology'!$B$7+U19*'Scoring &amp; Methodology'!$B$8+V19*'Scoring &amp; Methodology'!$B$9+W19*'Scoring &amp; Methodology'!$B$10+X19*'Scoring &amp; Methodology'!$B$11)/5,0)</f>
        <v>46</v>
      </c>
      <c r="F19" s="16" t="s">
        <v>391</v>
      </c>
      <c r="G19" s="13" t="s">
        <v>392</v>
      </c>
      <c r="H19" s="10" t="s">
        <v>466</v>
      </c>
      <c r="I19" s="10" t="s">
        <v>467</v>
      </c>
      <c r="J19" s="10" t="s">
        <v>468</v>
      </c>
      <c r="K19" s="10" t="s">
        <v>469</v>
      </c>
      <c r="L19" s="10" t="s">
        <v>470</v>
      </c>
      <c r="M19" s="10" t="s">
        <v>233</v>
      </c>
      <c r="N19" s="10" t="s">
        <v>471</v>
      </c>
      <c r="O19" s="10" t="s">
        <v>472</v>
      </c>
      <c r="P19" s="10" t="s">
        <v>388</v>
      </c>
      <c r="Q19" s="10" t="s">
        <v>473</v>
      </c>
      <c r="R19" s="10" t="s">
        <v>474</v>
      </c>
      <c r="S19" s="10">
        <v>4.0</v>
      </c>
      <c r="T19" s="10">
        <v>2.0</v>
      </c>
      <c r="U19" s="10">
        <v>3.0</v>
      </c>
      <c r="V19" s="10">
        <v>1.0</v>
      </c>
      <c r="W19" s="10">
        <v>1.0</v>
      </c>
      <c r="X19" s="10">
        <v>1.0</v>
      </c>
      <c r="Y19" s="10" t="s">
        <v>214</v>
      </c>
      <c r="Z19" s="14"/>
      <c r="AA19" s="1"/>
      <c r="AB19" s="1"/>
    </row>
    <row r="20" ht="120.0" customHeight="1">
      <c r="A20" s="7">
        <v>19.0</v>
      </c>
      <c r="B20" s="6" t="s">
        <v>226</v>
      </c>
      <c r="C20" s="6" t="s">
        <v>341</v>
      </c>
      <c r="D20" s="15" t="str">
        <f t="shared" si="1"/>
        <v>D - Discovery</v>
      </c>
      <c r="E20" s="6">
        <f>ROUND((S20*'Scoring &amp; Methodology'!$B$6+T20*'Scoring &amp; Methodology'!$B$7+U20*'Scoring &amp; Methodology'!$B$8+V20*'Scoring &amp; Methodology'!$B$9+W20*'Scoring &amp; Methodology'!$B$10+X20*'Scoring &amp; Methodology'!$B$11)/5,0)</f>
        <v>44</v>
      </c>
      <c r="F20" s="16" t="s">
        <v>391</v>
      </c>
      <c r="G20" s="9" t="s">
        <v>392</v>
      </c>
      <c r="H20" s="10" t="s">
        <v>475</v>
      </c>
      <c r="I20" s="10" t="s">
        <v>476</v>
      </c>
      <c r="J20" s="10" t="s">
        <v>477</v>
      </c>
      <c r="K20" s="10" t="s">
        <v>478</v>
      </c>
      <c r="L20" s="10" t="s">
        <v>479</v>
      </c>
      <c r="M20" s="10" t="s">
        <v>233</v>
      </c>
      <c r="N20" s="10" t="s">
        <v>480</v>
      </c>
      <c r="O20" s="10" t="s">
        <v>481</v>
      </c>
      <c r="P20" s="10" t="s">
        <v>388</v>
      </c>
      <c r="Q20" s="10" t="s">
        <v>482</v>
      </c>
      <c r="R20" s="10" t="s">
        <v>483</v>
      </c>
      <c r="S20" s="10">
        <v>3.0</v>
      </c>
      <c r="T20" s="10">
        <v>2.0</v>
      </c>
      <c r="U20" s="10">
        <v>3.0</v>
      </c>
      <c r="V20" s="10">
        <v>2.0</v>
      </c>
      <c r="W20" s="10">
        <v>1.0</v>
      </c>
      <c r="X20" s="10">
        <v>1.0</v>
      </c>
      <c r="Y20" s="10" t="s">
        <v>227</v>
      </c>
      <c r="Z20" s="14"/>
      <c r="AA20" s="1"/>
      <c r="AB20" s="1"/>
    </row>
    <row r="21" ht="120.0" customHeight="1">
      <c r="A21" s="7">
        <v>20.0</v>
      </c>
      <c r="B21" s="6" t="s">
        <v>235</v>
      </c>
      <c r="C21" s="6" t="s">
        <v>341</v>
      </c>
      <c r="D21" s="15" t="str">
        <f t="shared" si="1"/>
        <v>D - Discovery</v>
      </c>
      <c r="E21" s="6">
        <f>ROUND((S21*'Scoring &amp; Methodology'!$B$6+T21*'Scoring &amp; Methodology'!$B$7+U21*'Scoring &amp; Methodology'!$B$8+V21*'Scoring &amp; Methodology'!$B$9+W21*'Scoring &amp; Methodology'!$B$10+X21*'Scoring &amp; Methodology'!$B$11)/5,0)</f>
        <v>44</v>
      </c>
      <c r="F21" s="16" t="s">
        <v>391</v>
      </c>
      <c r="G21" s="13" t="s">
        <v>392</v>
      </c>
      <c r="H21" s="10" t="s">
        <v>484</v>
      </c>
      <c r="I21" s="10" t="s">
        <v>485</v>
      </c>
      <c r="J21" s="10" t="s">
        <v>486</v>
      </c>
      <c r="K21" s="10" t="s">
        <v>487</v>
      </c>
      <c r="L21" s="10" t="s">
        <v>488</v>
      </c>
      <c r="M21" s="10" t="s">
        <v>233</v>
      </c>
      <c r="N21" s="10" t="s">
        <v>489</v>
      </c>
      <c r="O21" s="10" t="s">
        <v>490</v>
      </c>
      <c r="P21" s="10" t="s">
        <v>388</v>
      </c>
      <c r="Q21" s="10" t="s">
        <v>491</v>
      </c>
      <c r="R21" s="10" t="s">
        <v>492</v>
      </c>
      <c r="S21" s="10">
        <v>3.0</v>
      </c>
      <c r="T21" s="10">
        <v>3.0</v>
      </c>
      <c r="U21" s="10">
        <v>3.0</v>
      </c>
      <c r="V21" s="10">
        <v>1.0</v>
      </c>
      <c r="W21" s="10">
        <v>1.0</v>
      </c>
      <c r="X21" s="10">
        <v>1.0</v>
      </c>
      <c r="Y21" s="10" t="s">
        <v>236</v>
      </c>
      <c r="Z21" s="14"/>
      <c r="AA21" s="1"/>
      <c r="AB21" s="1"/>
    </row>
    <row r="22" ht="120.0" customHeight="1">
      <c r="A22" s="7">
        <v>21.0</v>
      </c>
      <c r="B22" s="6" t="s">
        <v>243</v>
      </c>
      <c r="C22" s="6" t="s">
        <v>341</v>
      </c>
      <c r="D22" s="15" t="str">
        <f t="shared" si="1"/>
        <v>D - Discovery</v>
      </c>
      <c r="E22" s="6">
        <f>ROUND((S22*'Scoring &amp; Methodology'!$B$6+T22*'Scoring &amp; Methodology'!$B$7+U22*'Scoring &amp; Methodology'!$B$8+V22*'Scoring &amp; Methodology'!$B$9+W22*'Scoring &amp; Methodology'!$B$10+X22*'Scoring &amp; Methodology'!$B$11)/5,0)</f>
        <v>44</v>
      </c>
      <c r="F22" s="16" t="s">
        <v>391</v>
      </c>
      <c r="G22" s="9" t="s">
        <v>392</v>
      </c>
      <c r="H22" s="10" t="s">
        <v>493</v>
      </c>
      <c r="I22" s="10" t="s">
        <v>494</v>
      </c>
      <c r="J22" s="10" t="s">
        <v>495</v>
      </c>
      <c r="K22" s="10" t="s">
        <v>496</v>
      </c>
      <c r="L22" s="10" t="s">
        <v>497</v>
      </c>
      <c r="M22" s="10" t="s">
        <v>233</v>
      </c>
      <c r="N22" s="10" t="s">
        <v>498</v>
      </c>
      <c r="O22" s="10" t="s">
        <v>499</v>
      </c>
      <c r="P22" s="10" t="s">
        <v>388</v>
      </c>
      <c r="Q22" s="10" t="s">
        <v>500</v>
      </c>
      <c r="R22" s="10" t="s">
        <v>501</v>
      </c>
      <c r="S22" s="10">
        <v>3.0</v>
      </c>
      <c r="T22" s="10">
        <v>2.0</v>
      </c>
      <c r="U22" s="10">
        <v>3.0</v>
      </c>
      <c r="V22" s="10">
        <v>2.0</v>
      </c>
      <c r="W22" s="10">
        <v>1.0</v>
      </c>
      <c r="X22" s="10">
        <v>1.0</v>
      </c>
      <c r="Y22" s="10" t="s">
        <v>245</v>
      </c>
      <c r="Z22" s="14"/>
      <c r="AA22" s="1"/>
      <c r="AB22" s="1"/>
    </row>
    <row r="23" ht="120.0" customHeight="1">
      <c r="A23" s="7">
        <v>22.0</v>
      </c>
      <c r="B23" s="6" t="s">
        <v>259</v>
      </c>
      <c r="C23" s="6" t="s">
        <v>341</v>
      </c>
      <c r="D23" s="15" t="str">
        <f t="shared" si="1"/>
        <v>D - Discovery</v>
      </c>
      <c r="E23" s="6">
        <f>ROUND((S23*'Scoring &amp; Methodology'!$B$6+T23*'Scoring &amp; Methodology'!$B$7+U23*'Scoring &amp; Methodology'!$B$8+V23*'Scoring &amp; Methodology'!$B$9+W23*'Scoring &amp; Methodology'!$B$10+X23*'Scoring &amp; Methodology'!$B$11)/5,0)</f>
        <v>41</v>
      </c>
      <c r="F23" s="16" t="s">
        <v>391</v>
      </c>
      <c r="G23" s="13" t="s">
        <v>392</v>
      </c>
      <c r="H23" s="10" t="s">
        <v>502</v>
      </c>
      <c r="I23" s="10" t="s">
        <v>503</v>
      </c>
      <c r="J23" s="10" t="s">
        <v>504</v>
      </c>
      <c r="K23" s="10" t="s">
        <v>405</v>
      </c>
      <c r="L23" s="10" t="s">
        <v>505</v>
      </c>
      <c r="M23" s="10" t="s">
        <v>233</v>
      </c>
      <c r="N23" s="10" t="s">
        <v>506</v>
      </c>
      <c r="O23" s="10" t="s">
        <v>507</v>
      </c>
      <c r="P23" s="10" t="s">
        <v>388</v>
      </c>
      <c r="Q23" s="10" t="s">
        <v>508</v>
      </c>
      <c r="R23" s="10" t="s">
        <v>509</v>
      </c>
      <c r="S23" s="10">
        <v>3.0</v>
      </c>
      <c r="T23" s="10">
        <v>2.0</v>
      </c>
      <c r="U23" s="10">
        <v>3.0</v>
      </c>
      <c r="V23" s="10">
        <v>1.0</v>
      </c>
      <c r="W23" s="10">
        <v>1.0</v>
      </c>
      <c r="X23" s="10">
        <v>1.0</v>
      </c>
      <c r="Y23" s="10" t="s">
        <v>260</v>
      </c>
      <c r="Z23" s="14"/>
      <c r="AA23" s="1"/>
      <c r="AB23" s="1"/>
    </row>
    <row r="24" ht="120.0" customHeight="1">
      <c r="A24" s="7">
        <v>23.0</v>
      </c>
      <c r="B24" s="6" t="s">
        <v>263</v>
      </c>
      <c r="C24" s="6" t="s">
        <v>341</v>
      </c>
      <c r="D24" s="15" t="str">
        <f t="shared" si="1"/>
        <v>D - Discovery</v>
      </c>
      <c r="E24" s="6">
        <f>ROUND((S24*'Scoring &amp; Methodology'!$B$6+T24*'Scoring &amp; Methodology'!$B$7+U24*'Scoring &amp; Methodology'!$B$8+V24*'Scoring &amp; Methodology'!$B$9+W24*'Scoring &amp; Methodology'!$B$10+X24*'Scoring &amp; Methodology'!$B$11)/5,0)</f>
        <v>37</v>
      </c>
      <c r="F24" s="16" t="s">
        <v>391</v>
      </c>
      <c r="G24" s="9" t="s">
        <v>392</v>
      </c>
      <c r="H24" s="10" t="s">
        <v>510</v>
      </c>
      <c r="I24" s="10" t="s">
        <v>511</v>
      </c>
      <c r="J24" s="10" t="s">
        <v>512</v>
      </c>
      <c r="K24" s="10" t="s">
        <v>513</v>
      </c>
      <c r="L24" s="10" t="s">
        <v>514</v>
      </c>
      <c r="M24" s="10" t="s">
        <v>515</v>
      </c>
      <c r="N24" s="10" t="s">
        <v>516</v>
      </c>
      <c r="O24" s="10" t="s">
        <v>517</v>
      </c>
      <c r="P24" s="10" t="s">
        <v>388</v>
      </c>
      <c r="Q24" s="10" t="s">
        <v>518</v>
      </c>
      <c r="R24" s="10" t="s">
        <v>519</v>
      </c>
      <c r="S24" s="10">
        <v>3.0</v>
      </c>
      <c r="T24" s="10">
        <v>2.0</v>
      </c>
      <c r="U24" s="10">
        <v>2.0</v>
      </c>
      <c r="V24" s="10">
        <v>1.0</v>
      </c>
      <c r="W24" s="10">
        <v>1.0</v>
      </c>
      <c r="X24" s="10">
        <v>1.0</v>
      </c>
      <c r="Y24" s="10" t="s">
        <v>264</v>
      </c>
      <c r="Z24" s="14"/>
      <c r="AA24" s="1"/>
      <c r="AB24" s="1"/>
    </row>
    <row r="25" ht="120.0" customHeight="1">
      <c r="A25" s="7">
        <v>24.0</v>
      </c>
      <c r="B25" s="6" t="s">
        <v>270</v>
      </c>
      <c r="C25" s="6" t="s">
        <v>341</v>
      </c>
      <c r="D25" s="15" t="str">
        <f t="shared" si="1"/>
        <v>D - Discovery</v>
      </c>
      <c r="E25" s="6">
        <f>ROUND((S25*'Scoring &amp; Methodology'!$B$6+T25*'Scoring &amp; Methodology'!$B$7+U25*'Scoring &amp; Methodology'!$B$8+V25*'Scoring &amp; Methodology'!$B$9+W25*'Scoring &amp; Methodology'!$B$10+X25*'Scoring &amp; Methodology'!$B$11)/5,0)</f>
        <v>37</v>
      </c>
      <c r="F25" s="16" t="s">
        <v>391</v>
      </c>
      <c r="G25" s="13" t="s">
        <v>392</v>
      </c>
      <c r="H25" s="10" t="s">
        <v>520</v>
      </c>
      <c r="I25" s="10" t="s">
        <v>521</v>
      </c>
      <c r="J25" s="10" t="s">
        <v>522</v>
      </c>
      <c r="K25" s="10" t="s">
        <v>523</v>
      </c>
      <c r="L25" s="10" t="s">
        <v>524</v>
      </c>
      <c r="M25" s="10" t="s">
        <v>233</v>
      </c>
      <c r="N25" s="10" t="s">
        <v>525</v>
      </c>
      <c r="O25" s="10" t="s">
        <v>526</v>
      </c>
      <c r="P25" s="10" t="s">
        <v>388</v>
      </c>
      <c r="Q25" s="10" t="s">
        <v>527</v>
      </c>
      <c r="R25" s="10" t="s">
        <v>528</v>
      </c>
      <c r="S25" s="10">
        <v>3.0</v>
      </c>
      <c r="T25" s="10">
        <v>2.0</v>
      </c>
      <c r="U25" s="10">
        <v>2.0</v>
      </c>
      <c r="V25" s="10">
        <v>1.0</v>
      </c>
      <c r="W25" s="10">
        <v>1.0</v>
      </c>
      <c r="X25" s="10">
        <v>1.0</v>
      </c>
      <c r="Y25" s="10" t="s">
        <v>271</v>
      </c>
      <c r="Z25" s="14"/>
      <c r="AA25" s="1"/>
      <c r="AB25" s="1"/>
    </row>
    <row r="26" ht="120.0" customHeight="1">
      <c r="A26" s="7">
        <v>25.0</v>
      </c>
      <c r="B26" s="6" t="s">
        <v>276</v>
      </c>
      <c r="C26" s="6" t="s">
        <v>341</v>
      </c>
      <c r="D26" s="15" t="str">
        <f t="shared" si="1"/>
        <v>D - Discovery</v>
      </c>
      <c r="E26" s="6">
        <f>ROUND((S26*'Scoring &amp; Methodology'!$B$6+T26*'Scoring &amp; Methodology'!$B$7+U26*'Scoring &amp; Methodology'!$B$8+V26*'Scoring &amp; Methodology'!$B$9+W26*'Scoring &amp; Methodology'!$B$10+X26*'Scoring &amp; Methodology'!$B$11)/5,0)</f>
        <v>34</v>
      </c>
      <c r="F26" s="16" t="s">
        <v>391</v>
      </c>
      <c r="G26" s="9" t="s">
        <v>392</v>
      </c>
      <c r="H26" s="10" t="s">
        <v>529</v>
      </c>
      <c r="I26" s="10" t="s">
        <v>530</v>
      </c>
      <c r="J26" s="10" t="s">
        <v>531</v>
      </c>
      <c r="K26" s="10" t="s">
        <v>532</v>
      </c>
      <c r="L26" s="10" t="s">
        <v>533</v>
      </c>
      <c r="M26" s="10" t="s">
        <v>233</v>
      </c>
      <c r="N26" s="10" t="s">
        <v>534</v>
      </c>
      <c r="O26" s="10" t="s">
        <v>535</v>
      </c>
      <c r="P26" s="10" t="s">
        <v>388</v>
      </c>
      <c r="Q26" s="10" t="s">
        <v>536</v>
      </c>
      <c r="R26" s="10" t="s">
        <v>537</v>
      </c>
      <c r="S26" s="10">
        <v>3.0</v>
      </c>
      <c r="T26" s="10">
        <v>1.0</v>
      </c>
      <c r="U26" s="10">
        <v>2.0</v>
      </c>
      <c r="V26" s="10">
        <v>1.0</v>
      </c>
      <c r="W26" s="10">
        <v>1.0</v>
      </c>
      <c r="X26" s="10">
        <v>1.0</v>
      </c>
      <c r="Y26" s="10" t="s">
        <v>277</v>
      </c>
      <c r="Z26" s="14"/>
      <c r="AA26" s="1"/>
      <c r="AB26" s="1"/>
    </row>
    <row r="27" ht="120.0" customHeight="1">
      <c r="A27" s="7">
        <v>26.0</v>
      </c>
      <c r="B27" s="6" t="s">
        <v>282</v>
      </c>
      <c r="C27" s="6" t="s">
        <v>341</v>
      </c>
      <c r="D27" s="15" t="str">
        <f t="shared" si="1"/>
        <v>D - Discovery</v>
      </c>
      <c r="E27" s="6">
        <f>ROUND((S27*'Scoring &amp; Methodology'!$B$6+T27*'Scoring &amp; Methodology'!$B$7+U27*'Scoring &amp; Methodology'!$B$8+V27*'Scoring &amp; Methodology'!$B$9+W27*'Scoring &amp; Methodology'!$B$10+X27*'Scoring &amp; Methodology'!$B$11)/5,0)</f>
        <v>34</v>
      </c>
      <c r="F27" s="16" t="s">
        <v>391</v>
      </c>
      <c r="G27" s="13" t="s">
        <v>392</v>
      </c>
      <c r="H27" s="10" t="s">
        <v>538</v>
      </c>
      <c r="I27" s="10" t="s">
        <v>539</v>
      </c>
      <c r="J27" s="10" t="s">
        <v>540</v>
      </c>
      <c r="K27" s="10" t="s">
        <v>541</v>
      </c>
      <c r="L27" s="10" t="s">
        <v>542</v>
      </c>
      <c r="M27" s="10" t="s">
        <v>233</v>
      </c>
      <c r="N27" s="10" t="s">
        <v>543</v>
      </c>
      <c r="O27" s="10" t="s">
        <v>544</v>
      </c>
      <c r="P27" s="10" t="s">
        <v>388</v>
      </c>
      <c r="Q27" s="10" t="s">
        <v>545</v>
      </c>
      <c r="R27" s="10" t="s">
        <v>546</v>
      </c>
      <c r="S27" s="10">
        <v>3.0</v>
      </c>
      <c r="T27" s="10">
        <v>1.0</v>
      </c>
      <c r="U27" s="10">
        <v>2.0</v>
      </c>
      <c r="V27" s="10">
        <v>1.0</v>
      </c>
      <c r="W27" s="10">
        <v>1.0</v>
      </c>
      <c r="X27" s="10">
        <v>1.0</v>
      </c>
      <c r="Y27" s="10" t="s">
        <v>182</v>
      </c>
      <c r="Z27" s="14"/>
      <c r="AA27" s="1"/>
      <c r="AB27" s="1"/>
    </row>
    <row r="28" ht="120.0" customHeight="1">
      <c r="A28" s="7">
        <v>27.0</v>
      </c>
      <c r="B28" s="6" t="s">
        <v>288</v>
      </c>
      <c r="C28" s="6" t="s">
        <v>341</v>
      </c>
      <c r="D28" s="15" t="str">
        <f t="shared" si="1"/>
        <v>D - Discovery</v>
      </c>
      <c r="E28" s="6">
        <f>ROUND((S28*'Scoring &amp; Methodology'!$B$6+T28*'Scoring &amp; Methodology'!$B$7+U28*'Scoring &amp; Methodology'!$B$8+V28*'Scoring &amp; Methodology'!$B$9+W28*'Scoring &amp; Methodology'!$B$10+X28*'Scoring &amp; Methodology'!$B$11)/5,0)</f>
        <v>34</v>
      </c>
      <c r="F28" s="16" t="s">
        <v>391</v>
      </c>
      <c r="G28" s="9" t="s">
        <v>392</v>
      </c>
      <c r="H28" s="10" t="s">
        <v>547</v>
      </c>
      <c r="I28" s="10" t="s">
        <v>548</v>
      </c>
      <c r="J28" s="10" t="s">
        <v>549</v>
      </c>
      <c r="K28" s="10" t="s">
        <v>550</v>
      </c>
      <c r="L28" s="10" t="s">
        <v>551</v>
      </c>
      <c r="M28" s="10" t="s">
        <v>233</v>
      </c>
      <c r="N28" s="10" t="s">
        <v>552</v>
      </c>
      <c r="O28" s="10" t="s">
        <v>553</v>
      </c>
      <c r="P28" s="10" t="s">
        <v>388</v>
      </c>
      <c r="Q28" s="10" t="s">
        <v>554</v>
      </c>
      <c r="R28" s="10" t="s">
        <v>555</v>
      </c>
      <c r="S28" s="10">
        <v>3.0</v>
      </c>
      <c r="T28" s="10">
        <v>1.0</v>
      </c>
      <c r="U28" s="10">
        <v>2.0</v>
      </c>
      <c r="V28" s="10">
        <v>1.0</v>
      </c>
      <c r="W28" s="10">
        <v>1.0</v>
      </c>
      <c r="X28" s="10">
        <v>1.0</v>
      </c>
      <c r="Y28" s="10" t="s">
        <v>289</v>
      </c>
      <c r="Z28" s="14"/>
      <c r="AA28" s="1"/>
      <c r="AB28" s="1"/>
    </row>
    <row r="29" ht="120.0" customHeight="1">
      <c r="A29" s="7">
        <v>28.0</v>
      </c>
      <c r="B29" s="6" t="s">
        <v>295</v>
      </c>
      <c r="C29" s="6" t="s">
        <v>341</v>
      </c>
      <c r="D29" s="15" t="str">
        <f t="shared" si="1"/>
        <v>D - Discovery</v>
      </c>
      <c r="E29" s="6">
        <f>ROUND((S29*'Scoring &amp; Methodology'!$B$6+T29*'Scoring &amp; Methodology'!$B$7+U29*'Scoring &amp; Methodology'!$B$8+V29*'Scoring &amp; Methodology'!$B$9+W29*'Scoring &amp; Methodology'!$B$10+X29*'Scoring &amp; Methodology'!$B$11)/5,0)</f>
        <v>34</v>
      </c>
      <c r="F29" s="16" t="s">
        <v>391</v>
      </c>
      <c r="G29" s="13" t="s">
        <v>392</v>
      </c>
      <c r="H29" s="10" t="s">
        <v>556</v>
      </c>
      <c r="I29" s="10" t="s">
        <v>557</v>
      </c>
      <c r="J29" s="10" t="s">
        <v>558</v>
      </c>
      <c r="K29" s="10" t="s">
        <v>559</v>
      </c>
      <c r="L29" s="10" t="s">
        <v>560</v>
      </c>
      <c r="M29" s="10" t="s">
        <v>233</v>
      </c>
      <c r="N29" s="10" t="s">
        <v>561</v>
      </c>
      <c r="O29" s="10" t="s">
        <v>562</v>
      </c>
      <c r="P29" s="10" t="s">
        <v>388</v>
      </c>
      <c r="Q29" s="10" t="s">
        <v>563</v>
      </c>
      <c r="R29" s="10" t="s">
        <v>564</v>
      </c>
      <c r="S29" s="10">
        <v>3.0</v>
      </c>
      <c r="T29" s="10">
        <v>1.0</v>
      </c>
      <c r="U29" s="10">
        <v>2.0</v>
      </c>
      <c r="V29" s="10">
        <v>1.0</v>
      </c>
      <c r="W29" s="10">
        <v>1.0</v>
      </c>
      <c r="X29" s="10">
        <v>1.0</v>
      </c>
      <c r="Y29" s="10" t="s">
        <v>296</v>
      </c>
      <c r="Z29" s="14"/>
      <c r="AA29" s="1"/>
      <c r="AB29" s="1"/>
    </row>
    <row r="30" ht="120.0" customHeight="1">
      <c r="A30" s="7">
        <v>29.0</v>
      </c>
      <c r="B30" s="6" t="s">
        <v>302</v>
      </c>
      <c r="C30" s="6" t="s">
        <v>341</v>
      </c>
      <c r="D30" s="15" t="str">
        <f t="shared" si="1"/>
        <v>D - Discovery</v>
      </c>
      <c r="E30" s="6">
        <f>ROUND((S30*'Scoring &amp; Methodology'!$B$6+T30*'Scoring &amp; Methodology'!$B$7+U30*'Scoring &amp; Methodology'!$B$8+V30*'Scoring &amp; Methodology'!$B$9+W30*'Scoring &amp; Methodology'!$B$10+X30*'Scoring &amp; Methodology'!$B$11)/5,0)</f>
        <v>29</v>
      </c>
      <c r="F30" s="16" t="s">
        <v>391</v>
      </c>
      <c r="G30" s="9" t="s">
        <v>392</v>
      </c>
      <c r="H30" s="10" t="s">
        <v>565</v>
      </c>
      <c r="I30" s="10" t="s">
        <v>566</v>
      </c>
      <c r="J30" s="10" t="s">
        <v>567</v>
      </c>
      <c r="K30" s="10" t="s">
        <v>568</v>
      </c>
      <c r="L30" s="10" t="s">
        <v>569</v>
      </c>
      <c r="M30" s="10" t="s">
        <v>515</v>
      </c>
      <c r="N30" s="10" t="s">
        <v>570</v>
      </c>
      <c r="O30" s="10" t="s">
        <v>571</v>
      </c>
      <c r="P30" s="10" t="s">
        <v>388</v>
      </c>
      <c r="Q30" s="10" t="s">
        <v>572</v>
      </c>
      <c r="R30" s="10" t="s">
        <v>573</v>
      </c>
      <c r="S30" s="10">
        <v>2.0</v>
      </c>
      <c r="T30" s="10">
        <v>1.0</v>
      </c>
      <c r="U30" s="10">
        <v>2.0</v>
      </c>
      <c r="V30" s="10">
        <v>1.0</v>
      </c>
      <c r="W30" s="10">
        <v>1.0</v>
      </c>
      <c r="X30" s="10">
        <v>1.0</v>
      </c>
      <c r="Y30" s="10" t="s">
        <v>303</v>
      </c>
      <c r="Z30" s="14"/>
      <c r="AA30" s="1"/>
      <c r="AB30" s="1"/>
    </row>
    <row r="31" ht="120.0" customHeight="1">
      <c r="A31" s="7">
        <v>30.0</v>
      </c>
      <c r="B31" s="6" t="s">
        <v>314</v>
      </c>
      <c r="C31" s="6" t="s">
        <v>341</v>
      </c>
      <c r="D31" s="15" t="str">
        <f t="shared" si="1"/>
        <v>D - Discovery</v>
      </c>
      <c r="E31" s="6">
        <f>ROUND((S31*'Scoring &amp; Methodology'!$B$6+T31*'Scoring &amp; Methodology'!$B$7+U31*'Scoring &amp; Methodology'!$B$8+V31*'Scoring &amp; Methodology'!$B$9+W31*'Scoring &amp; Methodology'!$B$10+X31*'Scoring &amp; Methodology'!$B$11)/5,0)</f>
        <v>29</v>
      </c>
      <c r="F31" s="16" t="s">
        <v>391</v>
      </c>
      <c r="G31" s="13" t="s">
        <v>392</v>
      </c>
      <c r="H31" s="10" t="s">
        <v>574</v>
      </c>
      <c r="I31" s="10" t="s">
        <v>575</v>
      </c>
      <c r="J31" s="10" t="s">
        <v>576</v>
      </c>
      <c r="K31" s="10" t="s">
        <v>577</v>
      </c>
      <c r="L31" s="10" t="s">
        <v>578</v>
      </c>
      <c r="M31" s="10" t="s">
        <v>233</v>
      </c>
      <c r="N31" s="10" t="s">
        <v>579</v>
      </c>
      <c r="O31" s="10" t="s">
        <v>580</v>
      </c>
      <c r="P31" s="10" t="s">
        <v>388</v>
      </c>
      <c r="Q31" s="10" t="s">
        <v>581</v>
      </c>
      <c r="R31" s="10" t="s">
        <v>582</v>
      </c>
      <c r="S31" s="10">
        <v>2.0</v>
      </c>
      <c r="T31" s="10">
        <v>1.0</v>
      </c>
      <c r="U31" s="10">
        <v>2.0</v>
      </c>
      <c r="V31" s="10">
        <v>1.0</v>
      </c>
      <c r="W31" s="10">
        <v>1.0</v>
      </c>
      <c r="X31" s="10">
        <v>1.0</v>
      </c>
      <c r="Y31" s="10" t="s">
        <v>315</v>
      </c>
      <c r="Z31" s="14"/>
      <c r="AA31" s="1"/>
      <c r="AB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hyperlinks>
    <hyperlink r:id="rId1" ref="Z2"/>
    <hyperlink r:id="rId2" ref="Z3"/>
    <hyperlink r:id="rId3" ref="Z6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78.0"/>
    <col customWidth="1" min="3" max="3" width="43.0"/>
    <col customWidth="1" min="4" max="4" width="81.0"/>
    <col customWidth="1" min="5" max="24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.0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5" t="s">
        <v>11</v>
      </c>
      <c r="B5" s="5" t="s">
        <v>16</v>
      </c>
      <c r="C5" s="5" t="s">
        <v>17</v>
      </c>
      <c r="D5" s="5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3.5" customHeight="1">
      <c r="A6" s="4" t="s">
        <v>29</v>
      </c>
      <c r="B6" s="4">
        <v>25.0</v>
      </c>
      <c r="C6" s="4" t="s">
        <v>33</v>
      </c>
      <c r="D6" s="4" t="s">
        <v>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3.5" customHeight="1">
      <c r="A7" s="4" t="s">
        <v>40</v>
      </c>
      <c r="B7" s="4">
        <v>15.0</v>
      </c>
      <c r="C7" s="4" t="s">
        <v>42</v>
      </c>
      <c r="D7" s="4" t="s">
        <v>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3.5" customHeight="1">
      <c r="A8" s="4" t="s">
        <v>52</v>
      </c>
      <c r="B8" s="4">
        <v>20.0</v>
      </c>
      <c r="C8" s="4" t="s">
        <v>55</v>
      </c>
      <c r="D8" s="4" t="s">
        <v>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3.5" customHeight="1">
      <c r="A9" s="4" t="s">
        <v>69</v>
      </c>
      <c r="B9" s="4">
        <v>15.0</v>
      </c>
      <c r="C9" s="4" t="s">
        <v>72</v>
      </c>
      <c r="D9" s="4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3.5" customHeight="1">
      <c r="A10" s="4" t="s">
        <v>82</v>
      </c>
      <c r="B10" s="4">
        <v>10.0</v>
      </c>
      <c r="C10" s="4" t="s">
        <v>87</v>
      </c>
      <c r="D10" s="4" t="s">
        <v>88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4" t="s">
        <v>97</v>
      </c>
      <c r="B11" s="4">
        <v>15.0</v>
      </c>
      <c r="C11" s="4" t="s">
        <v>100</v>
      </c>
      <c r="D11" s="4" t="s">
        <v>102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4"/>
      <c r="B12" s="4"/>
      <c r="C12" s="4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4"/>
      <c r="B13" s="4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4" t="s">
        <v>121</v>
      </c>
      <c r="B14" s="4" t="s">
        <v>123</v>
      </c>
      <c r="C14" s="4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4" t="s">
        <v>133</v>
      </c>
      <c r="B15" s="4" t="s">
        <v>136</v>
      </c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4" t="s">
        <v>36</v>
      </c>
      <c r="B16" s="4" t="s">
        <v>140</v>
      </c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4" t="s">
        <v>144</v>
      </c>
      <c r="B17" s="4" t="s">
        <v>147</v>
      </c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4" t="s">
        <v>151</v>
      </c>
      <c r="B18" s="4" t="s">
        <v>154</v>
      </c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4" t="s">
        <v>159</v>
      </c>
      <c r="B19" s="4" t="s">
        <v>160</v>
      </c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4" t="s">
        <v>164</v>
      </c>
      <c r="B20" s="4" t="s">
        <v>166</v>
      </c>
      <c r="C20" s="4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4"/>
      <c r="B21" s="4"/>
      <c r="C21" s="4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3.5" customHeight="1">
      <c r="A22" s="4"/>
      <c r="B22" s="4"/>
      <c r="C22" s="4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3.5" customHeight="1">
      <c r="A23" s="4" t="s">
        <v>178</v>
      </c>
      <c r="B23" s="4" t="s">
        <v>179</v>
      </c>
      <c r="C23" s="4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3.5" customHeight="1">
      <c r="A24" s="4" t="s">
        <v>185</v>
      </c>
      <c r="B24" s="4" t="s">
        <v>186</v>
      </c>
      <c r="C24" s="4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3.5" customHeight="1">
      <c r="A25" s="4" t="s">
        <v>58</v>
      </c>
      <c r="B25" s="4" t="s">
        <v>195</v>
      </c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3.5" customHeight="1">
      <c r="A26" s="4" t="s">
        <v>200</v>
      </c>
      <c r="B26" s="4" t="s">
        <v>201</v>
      </c>
      <c r="C26" s="4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3.5" customHeight="1">
      <c r="A27" s="4" t="s">
        <v>211</v>
      </c>
      <c r="B27" s="4" t="s">
        <v>212</v>
      </c>
      <c r="C27" s="4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3.5" customHeight="1">
      <c r="A28" s="4" t="s">
        <v>26</v>
      </c>
      <c r="B28" s="4" t="s">
        <v>47</v>
      </c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3.75" customHeight="1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8.0" customHeight="1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8.0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8.0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8.0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8.0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8.0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0"/>
    <col customWidth="1" min="2" max="2" width="34.0"/>
    <col customWidth="1" min="3" max="3" width="20.0"/>
    <col customWidth="1" min="4" max="4" width="87.0"/>
    <col customWidth="1" min="5" max="5" width="16.0"/>
    <col customWidth="1" min="6" max="7" width="65.0"/>
    <col customWidth="1" min="8" max="27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.0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4.5" customHeight="1">
      <c r="A5" s="5" t="s">
        <v>14</v>
      </c>
      <c r="B5" s="5" t="s">
        <v>21</v>
      </c>
      <c r="C5" s="5" t="s">
        <v>23</v>
      </c>
      <c r="D5" s="5" t="s">
        <v>24</v>
      </c>
      <c r="E5" s="5" t="s">
        <v>26</v>
      </c>
      <c r="F5" s="5" t="s">
        <v>28</v>
      </c>
      <c r="G5" s="5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49.5" customHeight="1">
      <c r="A6" s="6" t="s">
        <v>37</v>
      </c>
      <c r="B6" s="6" t="s">
        <v>41</v>
      </c>
      <c r="C6" s="6" t="s">
        <v>43</v>
      </c>
      <c r="D6" s="6" t="s">
        <v>46</v>
      </c>
      <c r="E6" s="6" t="s">
        <v>47</v>
      </c>
      <c r="F6" s="6" t="s">
        <v>48</v>
      </c>
      <c r="G6" s="6" t="s">
        <v>50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49.5" customHeight="1">
      <c r="A7" s="6" t="s">
        <v>59</v>
      </c>
      <c r="B7" s="6" t="s">
        <v>60</v>
      </c>
      <c r="C7" s="6" t="s">
        <v>61</v>
      </c>
      <c r="D7" s="6" t="s">
        <v>63</v>
      </c>
      <c r="E7" s="6" t="s">
        <v>47</v>
      </c>
      <c r="F7" s="6" t="s">
        <v>64</v>
      </c>
      <c r="G7" s="6" t="s">
        <v>66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49.5" customHeight="1">
      <c r="A8" s="6" t="s">
        <v>75</v>
      </c>
      <c r="B8" s="6" t="s">
        <v>76</v>
      </c>
      <c r="C8" s="6" t="s">
        <v>61</v>
      </c>
      <c r="D8" s="6" t="s">
        <v>78</v>
      </c>
      <c r="E8" s="6" t="s">
        <v>47</v>
      </c>
      <c r="F8" s="6" t="s">
        <v>83</v>
      </c>
      <c r="G8" s="6" t="s">
        <v>86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49.5" customHeight="1">
      <c r="A9" s="6" t="s">
        <v>94</v>
      </c>
      <c r="B9" s="6" t="s">
        <v>96</v>
      </c>
      <c r="C9" s="6" t="s">
        <v>61</v>
      </c>
      <c r="D9" s="6" t="s">
        <v>99</v>
      </c>
      <c r="E9" s="6" t="s">
        <v>47</v>
      </c>
      <c r="F9" s="6" t="s">
        <v>107</v>
      </c>
      <c r="G9" s="6" t="s">
        <v>108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49.5" customHeight="1">
      <c r="A10" s="6" t="s">
        <v>109</v>
      </c>
      <c r="B10" s="6" t="s">
        <v>110</v>
      </c>
      <c r="C10" s="6" t="s">
        <v>61</v>
      </c>
      <c r="D10" s="6" t="s">
        <v>111</v>
      </c>
      <c r="E10" s="6" t="s">
        <v>47</v>
      </c>
      <c r="F10" s="6" t="s">
        <v>112</v>
      </c>
      <c r="G10" s="6" t="s">
        <v>113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49.5" customHeight="1">
      <c r="A11" s="6" t="s">
        <v>116</v>
      </c>
      <c r="B11" s="6" t="s">
        <v>118</v>
      </c>
      <c r="C11" s="6" t="s">
        <v>61</v>
      </c>
      <c r="D11" s="6" t="s">
        <v>120</v>
      </c>
      <c r="E11" s="6" t="s">
        <v>47</v>
      </c>
      <c r="F11" s="6" t="s">
        <v>122</v>
      </c>
      <c r="G11" s="6" t="s">
        <v>125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9.5" customHeight="1">
      <c r="A12" s="6" t="s">
        <v>128</v>
      </c>
      <c r="B12" s="6" t="s">
        <v>129</v>
      </c>
      <c r="C12" s="6" t="s">
        <v>61</v>
      </c>
      <c r="D12" s="6" t="s">
        <v>130</v>
      </c>
      <c r="E12" s="6" t="s">
        <v>47</v>
      </c>
      <c r="F12" s="6" t="s">
        <v>131</v>
      </c>
      <c r="G12" s="6" t="s">
        <v>134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49.5" customHeight="1">
      <c r="A13" s="6" t="s">
        <v>137</v>
      </c>
      <c r="B13" s="6" t="s">
        <v>129</v>
      </c>
      <c r="C13" s="6" t="s">
        <v>61</v>
      </c>
      <c r="D13" s="6" t="s">
        <v>138</v>
      </c>
      <c r="E13" s="6" t="s">
        <v>47</v>
      </c>
      <c r="F13" s="6" t="s">
        <v>139</v>
      </c>
      <c r="G13" s="6" t="s">
        <v>134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49.5" customHeight="1">
      <c r="A14" s="6" t="s">
        <v>141</v>
      </c>
      <c r="B14" s="6" t="s">
        <v>142</v>
      </c>
      <c r="C14" s="6" t="s">
        <v>61</v>
      </c>
      <c r="D14" s="6" t="s">
        <v>143</v>
      </c>
      <c r="E14" s="6" t="s">
        <v>47</v>
      </c>
      <c r="F14" s="6" t="s">
        <v>145</v>
      </c>
      <c r="G14" s="6" t="s">
        <v>146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49.5" customHeight="1">
      <c r="A15" s="6" t="s">
        <v>148</v>
      </c>
      <c r="B15" s="6" t="s">
        <v>149</v>
      </c>
      <c r="C15" s="6" t="s">
        <v>61</v>
      </c>
      <c r="D15" s="6" t="s">
        <v>150</v>
      </c>
      <c r="E15" s="6" t="s">
        <v>47</v>
      </c>
      <c r="F15" s="6" t="s">
        <v>152</v>
      </c>
      <c r="G15" s="6" t="s">
        <v>153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9.5" customHeight="1">
      <c r="A16" s="6" t="s">
        <v>155</v>
      </c>
      <c r="B16" s="6" t="s">
        <v>149</v>
      </c>
      <c r="C16" s="6" t="s">
        <v>156</v>
      </c>
      <c r="D16" s="6" t="s">
        <v>157</v>
      </c>
      <c r="E16" s="6" t="s">
        <v>47</v>
      </c>
      <c r="F16" s="6" t="s">
        <v>158</v>
      </c>
      <c r="G16" s="6" t="s">
        <v>153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49.5" customHeight="1">
      <c r="A17" s="6" t="s">
        <v>161</v>
      </c>
      <c r="B17" s="6" t="s">
        <v>162</v>
      </c>
      <c r="C17" s="6" t="s">
        <v>61</v>
      </c>
      <c r="D17" s="6" t="s">
        <v>163</v>
      </c>
      <c r="E17" s="6" t="s">
        <v>47</v>
      </c>
      <c r="F17" s="6" t="s">
        <v>165</v>
      </c>
      <c r="G17" s="6" t="s">
        <v>167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49.5" customHeight="1">
      <c r="A18" s="6" t="s">
        <v>168</v>
      </c>
      <c r="B18" s="6" t="s">
        <v>169</v>
      </c>
      <c r="C18" s="6" t="s">
        <v>61</v>
      </c>
      <c r="D18" s="6" t="s">
        <v>170</v>
      </c>
      <c r="E18" s="6" t="s">
        <v>47</v>
      </c>
      <c r="F18" s="6" t="s">
        <v>171</v>
      </c>
      <c r="G18" s="6" t="s">
        <v>172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49.5" customHeight="1">
      <c r="A19" s="6" t="s">
        <v>173</v>
      </c>
      <c r="B19" s="6" t="s">
        <v>174</v>
      </c>
      <c r="C19" s="6" t="s">
        <v>61</v>
      </c>
      <c r="D19" s="6" t="s">
        <v>175</v>
      </c>
      <c r="E19" s="6" t="s">
        <v>47</v>
      </c>
      <c r="F19" s="6" t="s">
        <v>176</v>
      </c>
      <c r="G19" s="6" t="s">
        <v>177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49.5" customHeight="1">
      <c r="A20" s="6" t="s">
        <v>180</v>
      </c>
      <c r="B20" s="6" t="s">
        <v>181</v>
      </c>
      <c r="C20" s="6" t="s">
        <v>61</v>
      </c>
      <c r="D20" s="6" t="s">
        <v>182</v>
      </c>
      <c r="E20" s="6" t="s">
        <v>47</v>
      </c>
      <c r="F20" s="6" t="s">
        <v>183</v>
      </c>
      <c r="G20" s="6" t="s">
        <v>184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49.5" customHeight="1">
      <c r="A21" s="6" t="s">
        <v>187</v>
      </c>
      <c r="B21" s="6" t="s">
        <v>188</v>
      </c>
      <c r="C21" s="6" t="s">
        <v>61</v>
      </c>
      <c r="D21" s="6" t="s">
        <v>189</v>
      </c>
      <c r="E21" s="6" t="s">
        <v>47</v>
      </c>
      <c r="F21" s="6" t="s">
        <v>190</v>
      </c>
      <c r="G21" s="6" t="s">
        <v>191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49.5" customHeight="1">
      <c r="A22" s="6" t="s">
        <v>192</v>
      </c>
      <c r="B22" s="6" t="s">
        <v>193</v>
      </c>
      <c r="C22" s="6" t="s">
        <v>61</v>
      </c>
      <c r="D22" s="6" t="s">
        <v>194</v>
      </c>
      <c r="E22" s="6" t="s">
        <v>47</v>
      </c>
      <c r="F22" s="6" t="s">
        <v>196</v>
      </c>
      <c r="G22" s="6" t="s">
        <v>197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49.5" customHeight="1">
      <c r="A23" s="6" t="s">
        <v>198</v>
      </c>
      <c r="B23" s="6" t="s">
        <v>199</v>
      </c>
      <c r="C23" s="6" t="s">
        <v>61</v>
      </c>
      <c r="D23" s="6" t="s">
        <v>194</v>
      </c>
      <c r="E23" s="6" t="s">
        <v>47</v>
      </c>
      <c r="F23" s="6" t="s">
        <v>202</v>
      </c>
      <c r="G23" s="6" t="s">
        <v>203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49.5" customHeight="1">
      <c r="A24" s="6" t="s">
        <v>204</v>
      </c>
      <c r="B24" s="6" t="s">
        <v>205</v>
      </c>
      <c r="C24" s="6" t="s">
        <v>61</v>
      </c>
      <c r="D24" s="6" t="s">
        <v>206</v>
      </c>
      <c r="E24" s="6" t="s">
        <v>47</v>
      </c>
      <c r="F24" s="6" t="s">
        <v>207</v>
      </c>
      <c r="G24" s="6" t="s">
        <v>208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49.5" customHeight="1">
      <c r="A25" s="6" t="s">
        <v>209</v>
      </c>
      <c r="B25" s="6" t="s">
        <v>205</v>
      </c>
      <c r="C25" s="6" t="s">
        <v>156</v>
      </c>
      <c r="D25" s="6" t="s">
        <v>210</v>
      </c>
      <c r="E25" s="6" t="s">
        <v>47</v>
      </c>
      <c r="F25" s="6" t="s">
        <v>158</v>
      </c>
      <c r="G25" s="6" t="s">
        <v>208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49.5" customHeight="1">
      <c r="A26" s="6" t="s">
        <v>213</v>
      </c>
      <c r="B26" s="6" t="s">
        <v>213</v>
      </c>
      <c r="C26" s="6" t="s">
        <v>61</v>
      </c>
      <c r="D26" s="6" t="s">
        <v>214</v>
      </c>
      <c r="E26" s="6" t="s">
        <v>47</v>
      </c>
      <c r="F26" s="6" t="s">
        <v>215</v>
      </c>
      <c r="G26" s="6" t="s">
        <v>216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49.5" customHeight="1">
      <c r="A27" s="6" t="s">
        <v>217</v>
      </c>
      <c r="B27" s="6" t="s">
        <v>213</v>
      </c>
      <c r="C27" s="6" t="s">
        <v>156</v>
      </c>
      <c r="D27" s="6" t="s">
        <v>218</v>
      </c>
      <c r="E27" s="6" t="s">
        <v>47</v>
      </c>
      <c r="F27" s="6" t="s">
        <v>158</v>
      </c>
      <c r="G27" s="6" t="s">
        <v>216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49.5" customHeight="1">
      <c r="A28" s="6" t="s">
        <v>219</v>
      </c>
      <c r="B28" s="6" t="s">
        <v>219</v>
      </c>
      <c r="C28" s="6" t="s">
        <v>61</v>
      </c>
      <c r="D28" s="6" t="s">
        <v>220</v>
      </c>
      <c r="E28" s="6" t="s">
        <v>47</v>
      </c>
      <c r="F28" s="6" t="s">
        <v>221</v>
      </c>
      <c r="G28" s="6" t="s">
        <v>222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49.5" customHeight="1">
      <c r="A29" s="6" t="s">
        <v>223</v>
      </c>
      <c r="B29" s="6" t="s">
        <v>219</v>
      </c>
      <c r="C29" s="6" t="s">
        <v>156</v>
      </c>
      <c r="D29" s="6" t="s">
        <v>224</v>
      </c>
      <c r="E29" s="6" t="s">
        <v>47</v>
      </c>
      <c r="F29" s="6" t="s">
        <v>158</v>
      </c>
      <c r="G29" s="6" t="s">
        <v>222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49.5" customHeight="1">
      <c r="A30" s="6" t="s">
        <v>225</v>
      </c>
      <c r="B30" s="6" t="s">
        <v>226</v>
      </c>
      <c r="C30" s="6" t="s">
        <v>61</v>
      </c>
      <c r="D30" s="6" t="s">
        <v>227</v>
      </c>
      <c r="E30" s="6" t="s">
        <v>47</v>
      </c>
      <c r="F30" s="6" t="s">
        <v>228</v>
      </c>
      <c r="G30" s="6" t="s">
        <v>229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49.5" customHeight="1">
      <c r="A31" s="6" t="s">
        <v>230</v>
      </c>
      <c r="B31" s="6" t="s">
        <v>226</v>
      </c>
      <c r="C31" s="6" t="s">
        <v>156</v>
      </c>
      <c r="D31" s="6" t="s">
        <v>231</v>
      </c>
      <c r="E31" s="6" t="s">
        <v>47</v>
      </c>
      <c r="F31" s="6" t="s">
        <v>158</v>
      </c>
      <c r="G31" s="6" t="s">
        <v>229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49.5" customHeight="1">
      <c r="A32" s="6" t="s">
        <v>234</v>
      </c>
      <c r="B32" s="6" t="s">
        <v>235</v>
      </c>
      <c r="C32" s="6" t="s">
        <v>61</v>
      </c>
      <c r="D32" s="6" t="s">
        <v>236</v>
      </c>
      <c r="E32" s="6" t="s">
        <v>47</v>
      </c>
      <c r="F32" s="6" t="s">
        <v>237</v>
      </c>
      <c r="G32" s="6" t="s">
        <v>239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49.5" customHeight="1">
      <c r="A33" s="6" t="s">
        <v>241</v>
      </c>
      <c r="B33" s="6" t="s">
        <v>243</v>
      </c>
      <c r="C33" s="6" t="s">
        <v>61</v>
      </c>
      <c r="D33" s="6" t="s">
        <v>245</v>
      </c>
      <c r="E33" s="6" t="s">
        <v>47</v>
      </c>
      <c r="F33" s="6" t="s">
        <v>247</v>
      </c>
      <c r="G33" s="6" t="s">
        <v>249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49.5" customHeight="1">
      <c r="A34" s="6" t="s">
        <v>254</v>
      </c>
      <c r="B34" s="6" t="s">
        <v>243</v>
      </c>
      <c r="C34" s="6" t="s">
        <v>156</v>
      </c>
      <c r="D34" s="6" t="s">
        <v>256</v>
      </c>
      <c r="E34" s="6" t="s">
        <v>47</v>
      </c>
      <c r="F34" s="6" t="s">
        <v>158</v>
      </c>
      <c r="G34" s="6" t="s">
        <v>249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49.5" customHeight="1">
      <c r="A35" s="6" t="s">
        <v>258</v>
      </c>
      <c r="B35" s="6" t="s">
        <v>259</v>
      </c>
      <c r="C35" s="6" t="s">
        <v>61</v>
      </c>
      <c r="D35" s="6" t="s">
        <v>260</v>
      </c>
      <c r="E35" s="6" t="s">
        <v>47</v>
      </c>
      <c r="F35" s="6" t="s">
        <v>261</v>
      </c>
      <c r="G35" s="6" t="s">
        <v>262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49.5" customHeight="1">
      <c r="A36" s="6" t="s">
        <v>263</v>
      </c>
      <c r="B36" s="6" t="s">
        <v>263</v>
      </c>
      <c r="C36" s="6" t="s">
        <v>61</v>
      </c>
      <c r="D36" s="6" t="s">
        <v>264</v>
      </c>
      <c r="E36" s="6" t="s">
        <v>47</v>
      </c>
      <c r="F36" s="6" t="s">
        <v>265</v>
      </c>
      <c r="G36" s="6" t="s">
        <v>266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49.5" customHeight="1">
      <c r="A37" s="6" t="s">
        <v>267</v>
      </c>
      <c r="B37" s="6" t="s">
        <v>263</v>
      </c>
      <c r="C37" s="6" t="s">
        <v>156</v>
      </c>
      <c r="D37" s="6" t="s">
        <v>268</v>
      </c>
      <c r="E37" s="6" t="s">
        <v>47</v>
      </c>
      <c r="F37" s="6" t="s">
        <v>158</v>
      </c>
      <c r="G37" s="6" t="s">
        <v>266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49.5" customHeight="1">
      <c r="A38" s="6" t="s">
        <v>269</v>
      </c>
      <c r="B38" s="6" t="s">
        <v>270</v>
      </c>
      <c r="C38" s="6" t="s">
        <v>61</v>
      </c>
      <c r="D38" s="6" t="s">
        <v>271</v>
      </c>
      <c r="E38" s="6" t="s">
        <v>47</v>
      </c>
      <c r="F38" s="6" t="s">
        <v>272</v>
      </c>
      <c r="G38" s="6" t="s">
        <v>273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49.5" customHeight="1">
      <c r="A39" s="6" t="s">
        <v>274</v>
      </c>
      <c r="B39" s="6" t="s">
        <v>270</v>
      </c>
      <c r="C39" s="6" t="s">
        <v>156</v>
      </c>
      <c r="D39" s="6" t="s">
        <v>275</v>
      </c>
      <c r="E39" s="6" t="s">
        <v>47</v>
      </c>
      <c r="F39" s="6" t="s">
        <v>158</v>
      </c>
      <c r="G39" s="6" t="s">
        <v>273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49.5" customHeight="1">
      <c r="A40" s="6" t="s">
        <v>276</v>
      </c>
      <c r="B40" s="6" t="s">
        <v>276</v>
      </c>
      <c r="C40" s="6" t="s">
        <v>61</v>
      </c>
      <c r="D40" s="6" t="s">
        <v>277</v>
      </c>
      <c r="E40" s="6" t="s">
        <v>47</v>
      </c>
      <c r="F40" s="6" t="s">
        <v>278</v>
      </c>
      <c r="G40" s="6" t="s">
        <v>279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49.5" customHeight="1">
      <c r="A41" s="6" t="s">
        <v>280</v>
      </c>
      <c r="B41" s="6" t="s">
        <v>276</v>
      </c>
      <c r="C41" s="6" t="s">
        <v>156</v>
      </c>
      <c r="D41" s="6" t="s">
        <v>281</v>
      </c>
      <c r="E41" s="6" t="s">
        <v>47</v>
      </c>
      <c r="F41" s="6" t="s">
        <v>158</v>
      </c>
      <c r="G41" s="6" t="s">
        <v>279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49.5" customHeight="1">
      <c r="A42" s="6" t="s">
        <v>282</v>
      </c>
      <c r="B42" s="6" t="s">
        <v>282</v>
      </c>
      <c r="C42" s="6" t="s">
        <v>61</v>
      </c>
      <c r="D42" s="6" t="s">
        <v>182</v>
      </c>
      <c r="E42" s="6" t="s">
        <v>47</v>
      </c>
      <c r="F42" s="6" t="s">
        <v>283</v>
      </c>
      <c r="G42" s="6" t="s">
        <v>284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49.5" customHeight="1">
      <c r="A43" s="6" t="s">
        <v>285</v>
      </c>
      <c r="B43" s="6" t="s">
        <v>282</v>
      </c>
      <c r="C43" s="6" t="s">
        <v>156</v>
      </c>
      <c r="D43" s="6" t="s">
        <v>286</v>
      </c>
      <c r="E43" s="6" t="s">
        <v>47</v>
      </c>
      <c r="F43" s="6" t="s">
        <v>158</v>
      </c>
      <c r="G43" s="6" t="s">
        <v>284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49.5" customHeight="1">
      <c r="A44" s="6" t="s">
        <v>287</v>
      </c>
      <c r="B44" s="6" t="s">
        <v>288</v>
      </c>
      <c r="C44" s="6" t="s">
        <v>61</v>
      </c>
      <c r="D44" s="6" t="s">
        <v>289</v>
      </c>
      <c r="E44" s="6" t="s">
        <v>47</v>
      </c>
      <c r="F44" s="6" t="s">
        <v>290</v>
      </c>
      <c r="G44" s="6" t="s">
        <v>291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49.5" customHeight="1">
      <c r="A45" s="6" t="s">
        <v>292</v>
      </c>
      <c r="B45" s="6" t="s">
        <v>288</v>
      </c>
      <c r="C45" s="6" t="s">
        <v>156</v>
      </c>
      <c r="D45" s="6" t="s">
        <v>293</v>
      </c>
      <c r="E45" s="6" t="s">
        <v>47</v>
      </c>
      <c r="F45" s="6" t="s">
        <v>158</v>
      </c>
      <c r="G45" s="6" t="s">
        <v>291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49.5" customHeight="1">
      <c r="A46" s="6" t="s">
        <v>294</v>
      </c>
      <c r="B46" s="6" t="s">
        <v>295</v>
      </c>
      <c r="C46" s="6" t="s">
        <v>61</v>
      </c>
      <c r="D46" s="6" t="s">
        <v>296</v>
      </c>
      <c r="E46" s="6" t="s">
        <v>47</v>
      </c>
      <c r="F46" s="6" t="s">
        <v>297</v>
      </c>
      <c r="G46" s="6" t="s">
        <v>298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49.5" customHeight="1">
      <c r="A47" s="6" t="s">
        <v>299</v>
      </c>
      <c r="B47" s="6" t="s">
        <v>295</v>
      </c>
      <c r="C47" s="6" t="s">
        <v>156</v>
      </c>
      <c r="D47" s="6" t="s">
        <v>300</v>
      </c>
      <c r="E47" s="6" t="s">
        <v>47</v>
      </c>
      <c r="F47" s="6" t="s">
        <v>158</v>
      </c>
      <c r="G47" s="6" t="s">
        <v>298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49.5" customHeight="1">
      <c r="A48" s="6" t="s">
        <v>301</v>
      </c>
      <c r="B48" s="6" t="s">
        <v>302</v>
      </c>
      <c r="C48" s="6" t="s">
        <v>61</v>
      </c>
      <c r="D48" s="6" t="s">
        <v>303</v>
      </c>
      <c r="E48" s="6" t="s">
        <v>47</v>
      </c>
      <c r="F48" s="6" t="s">
        <v>304</v>
      </c>
      <c r="G48" s="6" t="s">
        <v>305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49.5" customHeight="1">
      <c r="A49" s="6" t="s">
        <v>306</v>
      </c>
      <c r="B49" s="6" t="s">
        <v>302</v>
      </c>
      <c r="C49" s="6" t="s">
        <v>156</v>
      </c>
      <c r="D49" s="6" t="s">
        <v>307</v>
      </c>
      <c r="E49" s="6" t="s">
        <v>47</v>
      </c>
      <c r="F49" s="6" t="s">
        <v>158</v>
      </c>
      <c r="G49" s="6" t="s">
        <v>305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49.5" customHeight="1">
      <c r="A50" s="6" t="s">
        <v>313</v>
      </c>
      <c r="B50" s="6" t="s">
        <v>314</v>
      </c>
      <c r="C50" s="6" t="s">
        <v>61</v>
      </c>
      <c r="D50" s="6" t="s">
        <v>315</v>
      </c>
      <c r="E50" s="6" t="s">
        <v>47</v>
      </c>
      <c r="F50" s="6" t="s">
        <v>317</v>
      </c>
      <c r="G50" s="6" t="s">
        <v>318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49.5" customHeight="1">
      <c r="A51" s="6" t="s">
        <v>322</v>
      </c>
      <c r="B51" s="6" t="s">
        <v>314</v>
      </c>
      <c r="C51" s="6" t="s">
        <v>156</v>
      </c>
      <c r="D51" s="6" t="s">
        <v>323</v>
      </c>
      <c r="E51" s="6" t="s">
        <v>47</v>
      </c>
      <c r="F51" s="6" t="s">
        <v>158</v>
      </c>
      <c r="G51" s="6" t="s">
        <v>318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2026-09-29T12:23:52Z</dcterms:created>
  <dc:creator>openpyxl</dc:creator>
</cp:coreProperties>
</file>